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ulal\Downloads\"/>
    </mc:Choice>
  </mc:AlternateContent>
  <xr:revisionPtr revIDLastSave="0" documentId="13_ncr:1_{F164F4D9-F522-4DA8-B29F-7F2B790E5FEE}" xr6:coauthVersionLast="47" xr6:coauthVersionMax="47" xr10:uidLastSave="{00000000-0000-0000-0000-000000000000}"/>
  <bookViews>
    <workbookView xWindow="-120" yWindow="-120" windowWidth="38640" windowHeight="15720" tabRatio="944" activeTab="7" xr2:uid="{00000000-000D-0000-FFFF-FFFF00000000}"/>
  </bookViews>
  <sheets>
    <sheet name="📋 Cover" sheetId="1" r:id="rId1"/>
    <sheet name="📊 Executive Summary" sheetId="2" r:id="rId2"/>
    <sheet name="👁 Audience Lens" sheetId="3" r:id="rId3"/>
    <sheet name="📈 Revenue Analysis" sheetId="4" r:id="rId4"/>
    <sheet name="🗺 Dashboard Logic" sheetId="7" r:id="rId5"/>
    <sheet name="✅ QA Control" sheetId="8" r:id="rId6"/>
    <sheet name="📊 Chart Data" sheetId="5" r:id="rId7"/>
    <sheet name="📉 Charts" sheetId="6" r:id="rId8"/>
    <sheet name="📂 Raw Data" sheetId="9" r:id="rId9"/>
    <sheet name="QA_ValidationModule" sheetId="10" r:id="rId10"/>
    <sheet name="QA_AuditSummary" sheetId="11" r:id="rId11"/>
    <sheet name="Monthly_Summary" sheetId="12" r:id="rId12"/>
    <sheet name="BU_Product_Summary" sheetId="13" r:id="rId13"/>
    <sheet name="Segment_Discount_Summary" sheetId="14" r:id="rId14"/>
  </sheets>
  <definedNames>
    <definedName name="ExternalData_1" localSheetId="9" hidden="1">QA_ValidationModule!$A$1:$AC$217</definedName>
    <definedName name="ExternalData_2" localSheetId="11" hidden="1">Monthly_Summary!$A$1:$K$25</definedName>
    <definedName name="ExternalData_2" localSheetId="10" hidden="1">QA_AuditSummary!$A$1:$F$7</definedName>
    <definedName name="ExternalData_3" localSheetId="12" hidden="1">BU_Product_Summary!$A$1:$G$10</definedName>
    <definedName name="ExternalData_4" localSheetId="13" hidden="1">Segment_Discount_Summary!$A$1:$I$4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7" i="8" l="1" a="1"/>
  <c r="D17" i="8" s="1"/>
  <c r="E17" i="8" s="1"/>
  <c r="D16" i="8"/>
  <c r="E16" i="8" s="1"/>
  <c r="Y221" i="9"/>
  <c r="X217" i="9"/>
  <c r="W217" i="9"/>
  <c r="V217" i="9"/>
  <c r="U217" i="9"/>
  <c r="Y217" i="9" s="1"/>
  <c r="X216" i="9"/>
  <c r="W216" i="9"/>
  <c r="V216" i="9"/>
  <c r="U216" i="9"/>
  <c r="Y216" i="9" s="1"/>
  <c r="X215" i="9"/>
  <c r="W215" i="9"/>
  <c r="V215" i="9"/>
  <c r="U215" i="9"/>
  <c r="Y215" i="9" s="1"/>
  <c r="X214" i="9"/>
  <c r="W214" i="9"/>
  <c r="V214" i="9"/>
  <c r="U214" i="9"/>
  <c r="Y214" i="9" s="1"/>
  <c r="X213" i="9"/>
  <c r="W213" i="9"/>
  <c r="V213" i="9"/>
  <c r="U213" i="9"/>
  <c r="Y213" i="9" s="1"/>
  <c r="X212" i="9"/>
  <c r="W212" i="9"/>
  <c r="V212" i="9"/>
  <c r="U212" i="9"/>
  <c r="Y212" i="9" s="1"/>
  <c r="X211" i="9"/>
  <c r="W211" i="9"/>
  <c r="V211" i="9"/>
  <c r="U211" i="9"/>
  <c r="Y211" i="9" s="1"/>
  <c r="X210" i="9"/>
  <c r="W210" i="9"/>
  <c r="V210" i="9"/>
  <c r="U210" i="9"/>
  <c r="Y210" i="9" s="1"/>
  <c r="X209" i="9"/>
  <c r="W209" i="9"/>
  <c r="V209" i="9"/>
  <c r="U209" i="9"/>
  <c r="Y209" i="9" s="1"/>
  <c r="X208" i="9"/>
  <c r="W208" i="9"/>
  <c r="V208" i="9"/>
  <c r="U208" i="9"/>
  <c r="Y208" i="9" s="1"/>
  <c r="X207" i="9"/>
  <c r="W207" i="9"/>
  <c r="V207" i="9"/>
  <c r="U207" i="9"/>
  <c r="Y207" i="9" s="1"/>
  <c r="X206" i="9"/>
  <c r="W206" i="9"/>
  <c r="V206" i="9"/>
  <c r="U206" i="9"/>
  <c r="Y206" i="9" s="1"/>
  <c r="X205" i="9"/>
  <c r="W205" i="9"/>
  <c r="V205" i="9"/>
  <c r="U205" i="9"/>
  <c r="Y205" i="9" s="1"/>
  <c r="X204" i="9"/>
  <c r="W204" i="9"/>
  <c r="V204" i="9"/>
  <c r="U204" i="9"/>
  <c r="Y204" i="9" s="1"/>
  <c r="X203" i="9"/>
  <c r="W203" i="9"/>
  <c r="V203" i="9"/>
  <c r="U203" i="9"/>
  <c r="Y203" i="9" s="1"/>
  <c r="X202" i="9"/>
  <c r="W202" i="9"/>
  <c r="V202" i="9"/>
  <c r="U202" i="9"/>
  <c r="Y202" i="9" s="1"/>
  <c r="X201" i="9"/>
  <c r="W201" i="9"/>
  <c r="V201" i="9"/>
  <c r="U201" i="9"/>
  <c r="Y201" i="9" s="1"/>
  <c r="X200" i="9"/>
  <c r="W200" i="9"/>
  <c r="V200" i="9"/>
  <c r="U200" i="9"/>
  <c r="Y200" i="9" s="1"/>
  <c r="X199" i="9"/>
  <c r="W199" i="9"/>
  <c r="V199" i="9"/>
  <c r="U199" i="9"/>
  <c r="Y199" i="9" s="1"/>
  <c r="X198" i="9"/>
  <c r="W198" i="9"/>
  <c r="V198" i="9"/>
  <c r="U198" i="9"/>
  <c r="Y198" i="9" s="1"/>
  <c r="X197" i="9"/>
  <c r="W197" i="9"/>
  <c r="V197" i="9"/>
  <c r="U197" i="9"/>
  <c r="Y197" i="9" s="1"/>
  <c r="X196" i="9"/>
  <c r="W196" i="9"/>
  <c r="V196" i="9"/>
  <c r="U196" i="9"/>
  <c r="Y196" i="9" s="1"/>
  <c r="X195" i="9"/>
  <c r="W195" i="9"/>
  <c r="V195" i="9"/>
  <c r="U195" i="9"/>
  <c r="Y195" i="9" s="1"/>
  <c r="X194" i="9"/>
  <c r="W194" i="9"/>
  <c r="V194" i="9"/>
  <c r="U194" i="9"/>
  <c r="Y194" i="9" s="1"/>
  <c r="X193" i="9"/>
  <c r="W193" i="9"/>
  <c r="V193" i="9"/>
  <c r="U193" i="9"/>
  <c r="Y193" i="9" s="1"/>
  <c r="X192" i="9"/>
  <c r="W192" i="9"/>
  <c r="V192" i="9"/>
  <c r="U192" i="9"/>
  <c r="Y192" i="9" s="1"/>
  <c r="X191" i="9"/>
  <c r="W191" i="9"/>
  <c r="V191" i="9"/>
  <c r="U191" i="9"/>
  <c r="Y191" i="9" s="1"/>
  <c r="X190" i="9"/>
  <c r="W190" i="9"/>
  <c r="V190" i="9"/>
  <c r="U190" i="9"/>
  <c r="Y190" i="9" s="1"/>
  <c r="X189" i="9"/>
  <c r="W189" i="9"/>
  <c r="V189" i="9"/>
  <c r="U189" i="9"/>
  <c r="Y189" i="9" s="1"/>
  <c r="X188" i="9"/>
  <c r="W188" i="9"/>
  <c r="V188" i="9"/>
  <c r="U188" i="9"/>
  <c r="Y188" i="9" s="1"/>
  <c r="X187" i="9"/>
  <c r="W187" i="9"/>
  <c r="V187" i="9"/>
  <c r="U187" i="9"/>
  <c r="Y187" i="9" s="1"/>
  <c r="X186" i="9"/>
  <c r="W186" i="9"/>
  <c r="V186" i="9"/>
  <c r="U186" i="9"/>
  <c r="Y186" i="9" s="1"/>
  <c r="X185" i="9"/>
  <c r="W185" i="9"/>
  <c r="V185" i="9"/>
  <c r="U185" i="9"/>
  <c r="Y185" i="9" s="1"/>
  <c r="X184" i="9"/>
  <c r="W184" i="9"/>
  <c r="V184" i="9"/>
  <c r="U184" i="9"/>
  <c r="Y184" i="9" s="1"/>
  <c r="X183" i="9"/>
  <c r="W183" i="9"/>
  <c r="V183" i="9"/>
  <c r="U183" i="9"/>
  <c r="Y183" i="9" s="1"/>
  <c r="X182" i="9"/>
  <c r="W182" i="9"/>
  <c r="V182" i="9"/>
  <c r="U182" i="9"/>
  <c r="Y182" i="9" s="1"/>
  <c r="X181" i="9"/>
  <c r="W181" i="9"/>
  <c r="V181" i="9"/>
  <c r="U181" i="9"/>
  <c r="Y181" i="9" s="1"/>
  <c r="X180" i="9"/>
  <c r="Y180" i="9" s="1"/>
  <c r="W180" i="9"/>
  <c r="V180" i="9"/>
  <c r="U180" i="9"/>
  <c r="X179" i="9"/>
  <c r="W179" i="9"/>
  <c r="V179" i="9"/>
  <c r="U179" i="9"/>
  <c r="Y179" i="9" s="1"/>
  <c r="X178" i="9"/>
  <c r="W178" i="9"/>
  <c r="V178" i="9"/>
  <c r="U178" i="9"/>
  <c r="Y178" i="9" s="1"/>
  <c r="X177" i="9"/>
  <c r="W177" i="9"/>
  <c r="V177" i="9"/>
  <c r="U177" i="9"/>
  <c r="Y177" i="9" s="1"/>
  <c r="X176" i="9"/>
  <c r="W176" i="9"/>
  <c r="V176" i="9"/>
  <c r="U176" i="9"/>
  <c r="Y176" i="9" s="1"/>
  <c r="X175" i="9"/>
  <c r="W175" i="9"/>
  <c r="V175" i="9"/>
  <c r="U175" i="9"/>
  <c r="Y175" i="9" s="1"/>
  <c r="X174" i="9"/>
  <c r="W174" i="9"/>
  <c r="V174" i="9"/>
  <c r="U174" i="9"/>
  <c r="Y174" i="9" s="1"/>
  <c r="X173" i="9"/>
  <c r="W173" i="9"/>
  <c r="V173" i="9"/>
  <c r="U173" i="9"/>
  <c r="Y173" i="9" s="1"/>
  <c r="X172" i="9"/>
  <c r="W172" i="9"/>
  <c r="V172" i="9"/>
  <c r="U172" i="9"/>
  <c r="Y172" i="9" s="1"/>
  <c r="X171" i="9"/>
  <c r="W171" i="9"/>
  <c r="V171" i="9"/>
  <c r="U171" i="9"/>
  <c r="Y171" i="9" s="1"/>
  <c r="X170" i="9"/>
  <c r="W170" i="9"/>
  <c r="V170" i="9"/>
  <c r="U170" i="9"/>
  <c r="Y170" i="9" s="1"/>
  <c r="X169" i="9"/>
  <c r="W169" i="9"/>
  <c r="V169" i="9"/>
  <c r="U169" i="9"/>
  <c r="Y169" i="9" s="1"/>
  <c r="X168" i="9"/>
  <c r="W168" i="9"/>
  <c r="V168" i="9"/>
  <c r="U168" i="9"/>
  <c r="Y168" i="9" s="1"/>
  <c r="X167" i="9"/>
  <c r="W167" i="9"/>
  <c r="V167" i="9"/>
  <c r="U167" i="9"/>
  <c r="Y167" i="9" s="1"/>
  <c r="X166" i="9"/>
  <c r="W166" i="9"/>
  <c r="V166" i="9"/>
  <c r="U166" i="9"/>
  <c r="Y166" i="9" s="1"/>
  <c r="X165" i="9"/>
  <c r="W165" i="9"/>
  <c r="V165" i="9"/>
  <c r="U165" i="9"/>
  <c r="Y165" i="9" s="1"/>
  <c r="X164" i="9"/>
  <c r="W164" i="9"/>
  <c r="V164" i="9"/>
  <c r="U164" i="9"/>
  <c r="Y164" i="9" s="1"/>
  <c r="X163" i="9"/>
  <c r="W163" i="9"/>
  <c r="V163" i="9"/>
  <c r="U163" i="9"/>
  <c r="Y163" i="9" s="1"/>
  <c r="X162" i="9"/>
  <c r="W162" i="9"/>
  <c r="V162" i="9"/>
  <c r="U162" i="9"/>
  <c r="Y162" i="9" s="1"/>
  <c r="X161" i="9"/>
  <c r="W161" i="9"/>
  <c r="V161" i="9"/>
  <c r="U161" i="9"/>
  <c r="Y161" i="9" s="1"/>
  <c r="X160" i="9"/>
  <c r="W160" i="9"/>
  <c r="V160" i="9"/>
  <c r="U160" i="9"/>
  <c r="Y160" i="9" s="1"/>
  <c r="X159" i="9"/>
  <c r="W159" i="9"/>
  <c r="V159" i="9"/>
  <c r="U159" i="9"/>
  <c r="Y159" i="9" s="1"/>
  <c r="X158" i="9"/>
  <c r="W158" i="9"/>
  <c r="V158" i="9"/>
  <c r="U158" i="9"/>
  <c r="Y158" i="9" s="1"/>
  <c r="X157" i="9"/>
  <c r="W157" i="9"/>
  <c r="V157" i="9"/>
  <c r="U157" i="9"/>
  <c r="Y157" i="9" s="1"/>
  <c r="X156" i="9"/>
  <c r="W156" i="9"/>
  <c r="V156" i="9"/>
  <c r="U156" i="9"/>
  <c r="Y156" i="9" s="1"/>
  <c r="X155" i="9"/>
  <c r="W155" i="9"/>
  <c r="V155" i="9"/>
  <c r="U155" i="9"/>
  <c r="Y155" i="9" s="1"/>
  <c r="X154" i="9"/>
  <c r="W154" i="9"/>
  <c r="V154" i="9"/>
  <c r="U154" i="9"/>
  <c r="Y154" i="9" s="1"/>
  <c r="X153" i="9"/>
  <c r="W153" i="9"/>
  <c r="V153" i="9"/>
  <c r="U153" i="9"/>
  <c r="Y153" i="9" s="1"/>
  <c r="X152" i="9"/>
  <c r="W152" i="9"/>
  <c r="V152" i="9"/>
  <c r="U152" i="9"/>
  <c r="Y152" i="9" s="1"/>
  <c r="X151" i="9"/>
  <c r="W151" i="9"/>
  <c r="V151" i="9"/>
  <c r="U151" i="9"/>
  <c r="Y151" i="9" s="1"/>
  <c r="X150" i="9"/>
  <c r="W150" i="9"/>
  <c r="V150" i="9"/>
  <c r="U150" i="9"/>
  <c r="Y150" i="9" s="1"/>
  <c r="X149" i="9"/>
  <c r="W149" i="9"/>
  <c r="V149" i="9"/>
  <c r="U149" i="9"/>
  <c r="Y149" i="9" s="1"/>
  <c r="X148" i="9"/>
  <c r="W148" i="9"/>
  <c r="V148" i="9"/>
  <c r="U148" i="9"/>
  <c r="Y148" i="9" s="1"/>
  <c r="X147" i="9"/>
  <c r="W147" i="9"/>
  <c r="V147" i="9"/>
  <c r="U147" i="9"/>
  <c r="Y147" i="9" s="1"/>
  <c r="X146" i="9"/>
  <c r="W146" i="9"/>
  <c r="V146" i="9"/>
  <c r="U146" i="9"/>
  <c r="Y146" i="9" s="1"/>
  <c r="X145" i="9"/>
  <c r="W145" i="9"/>
  <c r="V145" i="9"/>
  <c r="U145" i="9"/>
  <c r="Y145" i="9" s="1"/>
  <c r="X144" i="9"/>
  <c r="W144" i="9"/>
  <c r="V144" i="9"/>
  <c r="U144" i="9"/>
  <c r="Y144" i="9" s="1"/>
  <c r="X143" i="9"/>
  <c r="W143" i="9"/>
  <c r="V143" i="9"/>
  <c r="U143" i="9"/>
  <c r="Y143" i="9" s="1"/>
  <c r="X142" i="9"/>
  <c r="Y142" i="9" s="1"/>
  <c r="W142" i="9"/>
  <c r="V142" i="9"/>
  <c r="U142" i="9"/>
  <c r="X141" i="9"/>
  <c r="W141" i="9"/>
  <c r="V141" i="9"/>
  <c r="U141" i="9"/>
  <c r="Y141" i="9" s="1"/>
  <c r="X140" i="9"/>
  <c r="W140" i="9"/>
  <c r="V140" i="9"/>
  <c r="U140" i="9"/>
  <c r="Y140" i="9" s="1"/>
  <c r="X139" i="9"/>
  <c r="W139" i="9"/>
  <c r="V139" i="9"/>
  <c r="U139" i="9"/>
  <c r="Y139" i="9" s="1"/>
  <c r="X138" i="9"/>
  <c r="W138" i="9"/>
  <c r="V138" i="9"/>
  <c r="U138" i="9"/>
  <c r="Y138" i="9" s="1"/>
  <c r="X137" i="9"/>
  <c r="W137" i="9"/>
  <c r="V137" i="9"/>
  <c r="U137" i="9"/>
  <c r="Y137" i="9" s="1"/>
  <c r="X136" i="9"/>
  <c r="W136" i="9"/>
  <c r="V136" i="9"/>
  <c r="U136" i="9"/>
  <c r="Y136" i="9" s="1"/>
  <c r="X135" i="9"/>
  <c r="W135" i="9"/>
  <c r="V135" i="9"/>
  <c r="U135" i="9"/>
  <c r="Y135" i="9" s="1"/>
  <c r="X134" i="9"/>
  <c r="W134" i="9"/>
  <c r="V134" i="9"/>
  <c r="U134" i="9"/>
  <c r="Y134" i="9" s="1"/>
  <c r="X133" i="9"/>
  <c r="W133" i="9"/>
  <c r="V133" i="9"/>
  <c r="U133" i="9"/>
  <c r="Y133" i="9" s="1"/>
  <c r="X132" i="9"/>
  <c r="W132" i="9"/>
  <c r="V132" i="9"/>
  <c r="U132" i="9"/>
  <c r="Y132" i="9" s="1"/>
  <c r="X131" i="9"/>
  <c r="W131" i="9"/>
  <c r="V131" i="9"/>
  <c r="U131" i="9"/>
  <c r="Y131" i="9" s="1"/>
  <c r="X130" i="9"/>
  <c r="W130" i="9"/>
  <c r="V130" i="9"/>
  <c r="U130" i="9"/>
  <c r="Y130" i="9" s="1"/>
  <c r="X129" i="9"/>
  <c r="W129" i="9"/>
  <c r="V129" i="9"/>
  <c r="U129" i="9"/>
  <c r="Y129" i="9" s="1"/>
  <c r="X128" i="9"/>
  <c r="W128" i="9"/>
  <c r="V128" i="9"/>
  <c r="U128" i="9"/>
  <c r="Y128" i="9" s="1"/>
  <c r="X127" i="9"/>
  <c r="W127" i="9"/>
  <c r="V127" i="9"/>
  <c r="U127" i="9"/>
  <c r="Y127" i="9" s="1"/>
  <c r="X126" i="9"/>
  <c r="W126" i="9"/>
  <c r="V126" i="9"/>
  <c r="U126" i="9"/>
  <c r="Y126" i="9" s="1"/>
  <c r="X125" i="9"/>
  <c r="W125" i="9"/>
  <c r="V125" i="9"/>
  <c r="U125" i="9"/>
  <c r="Y125" i="9" s="1"/>
  <c r="X124" i="9"/>
  <c r="W124" i="9"/>
  <c r="V124" i="9"/>
  <c r="U124" i="9"/>
  <c r="Y124" i="9" s="1"/>
  <c r="X123" i="9"/>
  <c r="W123" i="9"/>
  <c r="V123" i="9"/>
  <c r="U123" i="9"/>
  <c r="Y123" i="9" s="1"/>
  <c r="X122" i="9"/>
  <c r="W122" i="9"/>
  <c r="V122" i="9"/>
  <c r="U122" i="9"/>
  <c r="Y122" i="9" s="1"/>
  <c r="X121" i="9"/>
  <c r="W121" i="9"/>
  <c r="V121" i="9"/>
  <c r="U121" i="9"/>
  <c r="Y121" i="9" s="1"/>
  <c r="X120" i="9"/>
  <c r="W120" i="9"/>
  <c r="V120" i="9"/>
  <c r="U120" i="9"/>
  <c r="Y120" i="9" s="1"/>
  <c r="X119" i="9"/>
  <c r="W119" i="9"/>
  <c r="V119" i="9"/>
  <c r="U119" i="9"/>
  <c r="Y119" i="9" s="1"/>
  <c r="X118" i="9"/>
  <c r="W118" i="9"/>
  <c r="V118" i="9"/>
  <c r="U118" i="9"/>
  <c r="Y118" i="9" s="1"/>
  <c r="X117" i="9"/>
  <c r="W117" i="9"/>
  <c r="V117" i="9"/>
  <c r="U117" i="9"/>
  <c r="Y117" i="9" s="1"/>
  <c r="X116" i="9"/>
  <c r="W116" i="9"/>
  <c r="V116" i="9"/>
  <c r="U116" i="9"/>
  <c r="Y116" i="9" s="1"/>
  <c r="X115" i="9"/>
  <c r="W115" i="9"/>
  <c r="V115" i="9"/>
  <c r="U115" i="9"/>
  <c r="Y115" i="9" s="1"/>
  <c r="X114" i="9"/>
  <c r="W114" i="9"/>
  <c r="V114" i="9"/>
  <c r="U114" i="9"/>
  <c r="Y114" i="9" s="1"/>
  <c r="X113" i="9"/>
  <c r="W113" i="9"/>
  <c r="V113" i="9"/>
  <c r="U113" i="9"/>
  <c r="Y113" i="9" s="1"/>
  <c r="X112" i="9"/>
  <c r="W112" i="9"/>
  <c r="V112" i="9"/>
  <c r="U112" i="9"/>
  <c r="Y112" i="9" s="1"/>
  <c r="X111" i="9"/>
  <c r="W111" i="9"/>
  <c r="V111" i="9"/>
  <c r="U111" i="9"/>
  <c r="Y111" i="9" s="1"/>
  <c r="X110" i="9"/>
  <c r="W110" i="9"/>
  <c r="V110" i="9"/>
  <c r="U110" i="9"/>
  <c r="Y110" i="9" s="1"/>
  <c r="X109" i="9"/>
  <c r="W109" i="9"/>
  <c r="V109" i="9"/>
  <c r="U109" i="9"/>
  <c r="Y109" i="9" s="1"/>
  <c r="X108" i="9"/>
  <c r="W108" i="9"/>
  <c r="V108" i="9"/>
  <c r="U108" i="9"/>
  <c r="Y108" i="9" s="1"/>
  <c r="X107" i="9"/>
  <c r="W107" i="9"/>
  <c r="V107" i="9"/>
  <c r="U107" i="9"/>
  <c r="Y107" i="9" s="1"/>
  <c r="X106" i="9"/>
  <c r="W106" i="9"/>
  <c r="V106" i="9"/>
  <c r="U106" i="9"/>
  <c r="Y106" i="9" s="1"/>
  <c r="X105" i="9"/>
  <c r="W105" i="9"/>
  <c r="V105" i="9"/>
  <c r="U105" i="9"/>
  <c r="Y105" i="9" s="1"/>
  <c r="X104" i="9"/>
  <c r="W104" i="9"/>
  <c r="Y104" i="9" s="1"/>
  <c r="V104" i="9"/>
  <c r="U104" i="9"/>
  <c r="X103" i="9"/>
  <c r="W103" i="9"/>
  <c r="V103" i="9"/>
  <c r="U103" i="9"/>
  <c r="Y103" i="9" s="1"/>
  <c r="X102" i="9"/>
  <c r="W102" i="9"/>
  <c r="V102" i="9"/>
  <c r="U102" i="9"/>
  <c r="Y102" i="9" s="1"/>
  <c r="X101" i="9"/>
  <c r="W101" i="9"/>
  <c r="V101" i="9"/>
  <c r="U101" i="9"/>
  <c r="Y101" i="9" s="1"/>
  <c r="X100" i="9"/>
  <c r="W100" i="9"/>
  <c r="V100" i="9"/>
  <c r="U100" i="9"/>
  <c r="Y100" i="9" s="1"/>
  <c r="X99" i="9"/>
  <c r="W99" i="9"/>
  <c r="V99" i="9"/>
  <c r="U99" i="9"/>
  <c r="Y99" i="9" s="1"/>
  <c r="X98" i="9"/>
  <c r="W98" i="9"/>
  <c r="V98" i="9"/>
  <c r="U98" i="9"/>
  <c r="Y98" i="9" s="1"/>
  <c r="X97" i="9"/>
  <c r="W97" i="9"/>
  <c r="V97" i="9"/>
  <c r="U97" i="9"/>
  <c r="Y97" i="9" s="1"/>
  <c r="X96" i="9"/>
  <c r="W96" i="9"/>
  <c r="V96" i="9"/>
  <c r="U96" i="9"/>
  <c r="Y96" i="9" s="1"/>
  <c r="X95" i="9"/>
  <c r="W95" i="9"/>
  <c r="V95" i="9"/>
  <c r="U95" i="9"/>
  <c r="Y95" i="9" s="1"/>
  <c r="X94" i="9"/>
  <c r="W94" i="9"/>
  <c r="V94" i="9"/>
  <c r="U94" i="9"/>
  <c r="Y94" i="9" s="1"/>
  <c r="X93" i="9"/>
  <c r="W93" i="9"/>
  <c r="V93" i="9"/>
  <c r="U93" i="9"/>
  <c r="Y93" i="9" s="1"/>
  <c r="X92" i="9"/>
  <c r="W92" i="9"/>
  <c r="V92" i="9"/>
  <c r="U92" i="9"/>
  <c r="Y92" i="9" s="1"/>
  <c r="X91" i="9"/>
  <c r="W91" i="9"/>
  <c r="V91" i="9"/>
  <c r="U91" i="9"/>
  <c r="Y91" i="9" s="1"/>
  <c r="X90" i="9"/>
  <c r="W90" i="9"/>
  <c r="V90" i="9"/>
  <c r="U90" i="9"/>
  <c r="Y90" i="9" s="1"/>
  <c r="X89" i="9"/>
  <c r="W89" i="9"/>
  <c r="V89" i="9"/>
  <c r="U89" i="9"/>
  <c r="Y89" i="9" s="1"/>
  <c r="X88" i="9"/>
  <c r="W88" i="9"/>
  <c r="V88" i="9"/>
  <c r="U88" i="9"/>
  <c r="Y88" i="9" s="1"/>
  <c r="X87" i="9"/>
  <c r="W87" i="9"/>
  <c r="V87" i="9"/>
  <c r="U87" i="9"/>
  <c r="Y87" i="9" s="1"/>
  <c r="X86" i="9"/>
  <c r="W86" i="9"/>
  <c r="V86" i="9"/>
  <c r="U86" i="9"/>
  <c r="Y86" i="9" s="1"/>
  <c r="X85" i="9"/>
  <c r="W85" i="9"/>
  <c r="V85" i="9"/>
  <c r="U85" i="9"/>
  <c r="Y85" i="9" s="1"/>
  <c r="X84" i="9"/>
  <c r="W84" i="9"/>
  <c r="V84" i="9"/>
  <c r="U84" i="9"/>
  <c r="Y84" i="9" s="1"/>
  <c r="X83" i="9"/>
  <c r="W83" i="9"/>
  <c r="V83" i="9"/>
  <c r="U83" i="9"/>
  <c r="Y83" i="9" s="1"/>
  <c r="X82" i="9"/>
  <c r="W82" i="9"/>
  <c r="V82" i="9"/>
  <c r="U82" i="9"/>
  <c r="Y82" i="9" s="1"/>
  <c r="X81" i="9"/>
  <c r="W81" i="9"/>
  <c r="V81" i="9"/>
  <c r="U81" i="9"/>
  <c r="Y81" i="9" s="1"/>
  <c r="X80" i="9"/>
  <c r="W80" i="9"/>
  <c r="V80" i="9"/>
  <c r="U80" i="9"/>
  <c r="Y80" i="9" s="1"/>
  <c r="X79" i="9"/>
  <c r="W79" i="9"/>
  <c r="V79" i="9"/>
  <c r="U79" i="9"/>
  <c r="Y79" i="9" s="1"/>
  <c r="X78" i="9"/>
  <c r="W78" i="9"/>
  <c r="V78" i="9"/>
  <c r="U78" i="9"/>
  <c r="Y78" i="9" s="1"/>
  <c r="X77" i="9"/>
  <c r="W77" i="9"/>
  <c r="V77" i="9"/>
  <c r="U77" i="9"/>
  <c r="Y77" i="9" s="1"/>
  <c r="X76" i="9"/>
  <c r="W76" i="9"/>
  <c r="V76" i="9"/>
  <c r="U76" i="9"/>
  <c r="Y76" i="9" s="1"/>
  <c r="X75" i="9"/>
  <c r="W75" i="9"/>
  <c r="V75" i="9"/>
  <c r="U75" i="9"/>
  <c r="Y75" i="9" s="1"/>
  <c r="X74" i="9"/>
  <c r="W74" i="9"/>
  <c r="V74" i="9"/>
  <c r="U74" i="9"/>
  <c r="Y74" i="9" s="1"/>
  <c r="X73" i="9"/>
  <c r="W73" i="9"/>
  <c r="V73" i="9"/>
  <c r="U73" i="9"/>
  <c r="Y73" i="9" s="1"/>
  <c r="X72" i="9"/>
  <c r="W72" i="9"/>
  <c r="V72" i="9"/>
  <c r="U72" i="9"/>
  <c r="Y72" i="9" s="1"/>
  <c r="X71" i="9"/>
  <c r="W71" i="9"/>
  <c r="V71" i="9"/>
  <c r="U71" i="9"/>
  <c r="Y71" i="9" s="1"/>
  <c r="X70" i="9"/>
  <c r="W70" i="9"/>
  <c r="V70" i="9"/>
  <c r="U70" i="9"/>
  <c r="Y70" i="9" s="1"/>
  <c r="X69" i="9"/>
  <c r="W69" i="9"/>
  <c r="V69" i="9"/>
  <c r="U69" i="9"/>
  <c r="Y69" i="9" s="1"/>
  <c r="X68" i="9"/>
  <c r="W68" i="9"/>
  <c r="V68" i="9"/>
  <c r="U68" i="9"/>
  <c r="Y68" i="9" s="1"/>
  <c r="X67" i="9"/>
  <c r="W67" i="9"/>
  <c r="V67" i="9"/>
  <c r="U67" i="9"/>
  <c r="Y67" i="9" s="1"/>
  <c r="X66" i="9"/>
  <c r="W66" i="9"/>
  <c r="V66" i="9"/>
  <c r="U66" i="9"/>
  <c r="Y66" i="9" s="1"/>
  <c r="X65" i="9"/>
  <c r="W65" i="9"/>
  <c r="V65" i="9"/>
  <c r="U65" i="9"/>
  <c r="Y65" i="9" s="1"/>
  <c r="X64" i="9"/>
  <c r="W64" i="9"/>
  <c r="V64" i="9"/>
  <c r="U64" i="9"/>
  <c r="Y64" i="9" s="1"/>
  <c r="X63" i="9"/>
  <c r="W63" i="9"/>
  <c r="V63" i="9"/>
  <c r="U63" i="9"/>
  <c r="Y63" i="9" s="1"/>
  <c r="X62" i="9"/>
  <c r="W62" i="9"/>
  <c r="V62" i="9"/>
  <c r="U62" i="9"/>
  <c r="Y62" i="9" s="1"/>
  <c r="X61" i="9"/>
  <c r="W61" i="9"/>
  <c r="V61" i="9"/>
  <c r="U61" i="9"/>
  <c r="Y61" i="9" s="1"/>
  <c r="X60" i="9"/>
  <c r="W60" i="9"/>
  <c r="V60" i="9"/>
  <c r="U60" i="9"/>
  <c r="Y60" i="9" s="1"/>
  <c r="X59" i="9"/>
  <c r="W59" i="9"/>
  <c r="V59" i="9"/>
  <c r="U59" i="9"/>
  <c r="Y59" i="9" s="1"/>
  <c r="X58" i="9"/>
  <c r="W58" i="9"/>
  <c r="V58" i="9"/>
  <c r="U58" i="9"/>
  <c r="Y58" i="9" s="1"/>
  <c r="X57" i="9"/>
  <c r="W57" i="9"/>
  <c r="V57" i="9"/>
  <c r="U57" i="9"/>
  <c r="Y57" i="9" s="1"/>
  <c r="X56" i="9"/>
  <c r="W56" i="9"/>
  <c r="V56" i="9"/>
  <c r="U56" i="9"/>
  <c r="Y56" i="9" s="1"/>
  <c r="X55" i="9"/>
  <c r="W55" i="9"/>
  <c r="V55" i="9"/>
  <c r="U55" i="9"/>
  <c r="Y55" i="9" s="1"/>
  <c r="X54" i="9"/>
  <c r="W54" i="9"/>
  <c r="V54" i="9"/>
  <c r="U54" i="9"/>
  <c r="Y54" i="9" s="1"/>
  <c r="X53" i="9"/>
  <c r="W53" i="9"/>
  <c r="V53" i="9"/>
  <c r="U53" i="9"/>
  <c r="Y53" i="9" s="1"/>
  <c r="X52" i="9"/>
  <c r="W52" i="9"/>
  <c r="V52" i="9"/>
  <c r="U52" i="9"/>
  <c r="Y52" i="9" s="1"/>
  <c r="X51" i="9"/>
  <c r="W51" i="9"/>
  <c r="V51" i="9"/>
  <c r="U51" i="9"/>
  <c r="Y51" i="9" s="1"/>
  <c r="X50" i="9"/>
  <c r="W50" i="9"/>
  <c r="V50" i="9"/>
  <c r="U50" i="9"/>
  <c r="Y50" i="9" s="1"/>
  <c r="X49" i="9"/>
  <c r="W49" i="9"/>
  <c r="V49" i="9"/>
  <c r="U49" i="9"/>
  <c r="Y49" i="9" s="1"/>
  <c r="X48" i="9"/>
  <c r="W48" i="9"/>
  <c r="V48" i="9"/>
  <c r="U48" i="9"/>
  <c r="Y48" i="9" s="1"/>
  <c r="X47" i="9"/>
  <c r="W47" i="9"/>
  <c r="V47" i="9"/>
  <c r="U47" i="9"/>
  <c r="Y47" i="9" s="1"/>
  <c r="X46" i="9"/>
  <c r="W46" i="9"/>
  <c r="V46" i="9"/>
  <c r="U46" i="9"/>
  <c r="Y46" i="9" s="1"/>
  <c r="X45" i="9"/>
  <c r="W45" i="9"/>
  <c r="V45" i="9"/>
  <c r="U45" i="9"/>
  <c r="Y45" i="9" s="1"/>
  <c r="X44" i="9"/>
  <c r="W44" i="9"/>
  <c r="V44" i="9"/>
  <c r="U44" i="9"/>
  <c r="Y44" i="9" s="1"/>
  <c r="X43" i="9"/>
  <c r="W43" i="9"/>
  <c r="V43" i="9"/>
  <c r="U43" i="9"/>
  <c r="Y43" i="9" s="1"/>
  <c r="X42" i="9"/>
  <c r="W42" i="9"/>
  <c r="V42" i="9"/>
  <c r="U42" i="9"/>
  <c r="Y42" i="9" s="1"/>
  <c r="X41" i="9"/>
  <c r="W41" i="9"/>
  <c r="V41" i="9"/>
  <c r="U41" i="9"/>
  <c r="Y41" i="9" s="1"/>
  <c r="X40" i="9"/>
  <c r="W40" i="9"/>
  <c r="V40" i="9"/>
  <c r="U40" i="9"/>
  <c r="Y40" i="9" s="1"/>
  <c r="X39" i="9"/>
  <c r="W39" i="9"/>
  <c r="V39" i="9"/>
  <c r="U39" i="9"/>
  <c r="Y39" i="9" s="1"/>
  <c r="X38" i="9"/>
  <c r="W38" i="9"/>
  <c r="V38" i="9"/>
  <c r="U38" i="9"/>
  <c r="Y38" i="9" s="1"/>
  <c r="X37" i="9"/>
  <c r="W37" i="9"/>
  <c r="V37" i="9"/>
  <c r="U37" i="9"/>
  <c r="Y37" i="9" s="1"/>
  <c r="X36" i="9"/>
  <c r="W36" i="9"/>
  <c r="V36" i="9"/>
  <c r="U36" i="9"/>
  <c r="Y36" i="9" s="1"/>
  <c r="X35" i="9"/>
  <c r="W35" i="9"/>
  <c r="V35" i="9"/>
  <c r="U35" i="9"/>
  <c r="Y35" i="9" s="1"/>
  <c r="X34" i="9"/>
  <c r="W34" i="9"/>
  <c r="V34" i="9"/>
  <c r="U34" i="9"/>
  <c r="Y34" i="9" s="1"/>
  <c r="X33" i="9"/>
  <c r="W33" i="9"/>
  <c r="V33" i="9"/>
  <c r="U33" i="9"/>
  <c r="Y33" i="9" s="1"/>
  <c r="X32" i="9"/>
  <c r="W32" i="9"/>
  <c r="V32" i="9"/>
  <c r="U32" i="9"/>
  <c r="Y32" i="9" s="1"/>
  <c r="X31" i="9"/>
  <c r="W31" i="9"/>
  <c r="V31" i="9"/>
  <c r="U31" i="9"/>
  <c r="Y31" i="9" s="1"/>
  <c r="X30" i="9"/>
  <c r="W30" i="9"/>
  <c r="V30" i="9"/>
  <c r="U30" i="9"/>
  <c r="Y30" i="9" s="1"/>
  <c r="X29" i="9"/>
  <c r="W29" i="9"/>
  <c r="V29" i="9"/>
  <c r="U29" i="9"/>
  <c r="Y29" i="9" s="1"/>
  <c r="X28" i="9"/>
  <c r="W28" i="9"/>
  <c r="V28" i="9"/>
  <c r="U28" i="9"/>
  <c r="Y28" i="9" s="1"/>
  <c r="X27" i="9"/>
  <c r="W27" i="9"/>
  <c r="V27" i="9"/>
  <c r="U27" i="9"/>
  <c r="Y27" i="9" s="1"/>
  <c r="X26" i="9"/>
  <c r="W26" i="9"/>
  <c r="V26" i="9"/>
  <c r="U26" i="9"/>
  <c r="Y26" i="9" s="1"/>
  <c r="X25" i="9"/>
  <c r="W25" i="9"/>
  <c r="V25" i="9"/>
  <c r="U25" i="9"/>
  <c r="Y25" i="9" s="1"/>
  <c r="X24" i="9"/>
  <c r="W24" i="9"/>
  <c r="V24" i="9"/>
  <c r="U24" i="9"/>
  <c r="Y24" i="9" s="1"/>
  <c r="X23" i="9"/>
  <c r="W23" i="9"/>
  <c r="V23" i="9"/>
  <c r="U23" i="9"/>
  <c r="Y23" i="9" s="1"/>
  <c r="X22" i="9"/>
  <c r="W22" i="9"/>
  <c r="V22" i="9"/>
  <c r="U22" i="9"/>
  <c r="Y22" i="9" s="1"/>
  <c r="X21" i="9"/>
  <c r="W21" i="9"/>
  <c r="V21" i="9"/>
  <c r="U21" i="9"/>
  <c r="Y21" i="9" s="1"/>
  <c r="X20" i="9"/>
  <c r="W20" i="9"/>
  <c r="V20" i="9"/>
  <c r="U20" i="9"/>
  <c r="Y20" i="9" s="1"/>
  <c r="X19" i="9"/>
  <c r="W19" i="9"/>
  <c r="V19" i="9"/>
  <c r="U19" i="9"/>
  <c r="Y19" i="9" s="1"/>
  <c r="X18" i="9"/>
  <c r="W18" i="9"/>
  <c r="V18" i="9"/>
  <c r="U18" i="9"/>
  <c r="Y18" i="9" s="1"/>
  <c r="X17" i="9"/>
  <c r="W17" i="9"/>
  <c r="V17" i="9"/>
  <c r="U17" i="9"/>
  <c r="Y17" i="9" s="1"/>
  <c r="X16" i="9"/>
  <c r="W16" i="9"/>
  <c r="V16" i="9"/>
  <c r="U16" i="9"/>
  <c r="Y16" i="9" s="1"/>
  <c r="X15" i="9"/>
  <c r="W15" i="9"/>
  <c r="V15" i="9"/>
  <c r="U15" i="9"/>
  <c r="Y15" i="9" s="1"/>
  <c r="X14" i="9"/>
  <c r="W14" i="9"/>
  <c r="V14" i="9"/>
  <c r="U14" i="9"/>
  <c r="Y14" i="9" s="1"/>
  <c r="X13" i="9"/>
  <c r="W13" i="9"/>
  <c r="V13" i="9"/>
  <c r="U13" i="9"/>
  <c r="Y13" i="9" s="1"/>
  <c r="X12" i="9"/>
  <c r="W12" i="9"/>
  <c r="V12" i="9"/>
  <c r="U12" i="9"/>
  <c r="Y12" i="9" s="1"/>
  <c r="X11" i="9"/>
  <c r="W11" i="9"/>
  <c r="V11" i="9"/>
  <c r="U11" i="9"/>
  <c r="Y11" i="9" s="1"/>
  <c r="X10" i="9"/>
  <c r="W10" i="9"/>
  <c r="V10" i="9"/>
  <c r="U10" i="9"/>
  <c r="Y10" i="9" s="1"/>
  <c r="X9" i="9"/>
  <c r="W9" i="9"/>
  <c r="V9" i="9"/>
  <c r="U9" i="9"/>
  <c r="Y9" i="9" s="1"/>
  <c r="X8" i="9"/>
  <c r="W8" i="9"/>
  <c r="V8" i="9"/>
  <c r="U8" i="9"/>
  <c r="Y8" i="9" s="1"/>
  <c r="X7" i="9"/>
  <c r="W7" i="9"/>
  <c r="V7" i="9"/>
  <c r="U7" i="9"/>
  <c r="Y7" i="9" s="1"/>
  <c r="X6" i="9"/>
  <c r="W6" i="9"/>
  <c r="V6" i="9"/>
  <c r="U6" i="9"/>
  <c r="Y6" i="9" s="1"/>
  <c r="X5" i="9"/>
  <c r="W5" i="9"/>
  <c r="V5" i="9"/>
  <c r="U5" i="9"/>
  <c r="Y5" i="9" s="1"/>
  <c r="X4" i="9"/>
  <c r="W4" i="9"/>
  <c r="V4" i="9"/>
  <c r="U4" i="9"/>
  <c r="Y4" i="9" s="1"/>
  <c r="X3" i="9"/>
  <c r="W3" i="9"/>
  <c r="V3" i="9"/>
  <c r="U3" i="9"/>
  <c r="Y3" i="9" s="1"/>
  <c r="X2" i="9"/>
  <c r="W2" i="9"/>
  <c r="V2" i="9"/>
  <c r="U2" i="9"/>
  <c r="Y2" i="9" s="1"/>
  <c r="D18" i="8"/>
  <c r="E18" i="8" s="1"/>
  <c r="D15" i="8"/>
  <c r="E15" i="8" s="1"/>
  <c r="D14" i="8"/>
  <c r="E14" i="8" s="1"/>
  <c r="D13" i="8"/>
  <c r="E13" i="8" s="1"/>
  <c r="D12" i="8"/>
  <c r="E12" i="8" s="1"/>
  <c r="D11" i="8"/>
  <c r="E11" i="8" s="1"/>
  <c r="D10" i="8"/>
  <c r="E10" i="8" s="1"/>
  <c r="D9" i="8"/>
  <c r="E9" i="8" s="1"/>
  <c r="D8" i="8"/>
  <c r="E8" i="8" s="1"/>
  <c r="D7" i="8"/>
  <c r="E7" i="8" s="1"/>
  <c r="B38" i="5"/>
  <c r="B37" i="5"/>
  <c r="B36" i="5"/>
  <c r="A32" i="5"/>
  <c r="A31" i="5"/>
  <c r="A30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E38" i="4"/>
  <c r="D38" i="4"/>
  <c r="C38" i="4"/>
  <c r="F38" i="4" s="1"/>
  <c r="B30" i="5" s="1"/>
  <c r="E37" i="4"/>
  <c r="D37" i="4"/>
  <c r="C37" i="4"/>
  <c r="F37" i="4" s="1"/>
  <c r="B32" i="5" s="1"/>
  <c r="E36" i="4"/>
  <c r="D36" i="4"/>
  <c r="C36" i="4"/>
  <c r="F36" i="4" s="1"/>
  <c r="B31" i="5" s="1"/>
  <c r="I30" i="4"/>
  <c r="H30" i="4"/>
  <c r="G27" i="5" s="1"/>
  <c r="G30" i="4"/>
  <c r="F27" i="5" s="1"/>
  <c r="F30" i="4"/>
  <c r="E27" i="5" s="1"/>
  <c r="E30" i="4"/>
  <c r="D27" i="5" s="1"/>
  <c r="D30" i="4"/>
  <c r="B27" i="5" s="1"/>
  <c r="C30" i="4"/>
  <c r="C27" i="5" s="1"/>
  <c r="I29" i="4"/>
  <c r="H29" i="4"/>
  <c r="G26" i="5" s="1"/>
  <c r="G29" i="4"/>
  <c r="F26" i="5" s="1"/>
  <c r="F29" i="4"/>
  <c r="E26" i="5" s="1"/>
  <c r="E29" i="4"/>
  <c r="D26" i="5" s="1"/>
  <c r="D29" i="4"/>
  <c r="B26" i="5" s="1"/>
  <c r="C29" i="4"/>
  <c r="C26" i="5" s="1"/>
  <c r="I28" i="4"/>
  <c r="H28" i="4"/>
  <c r="G25" i="5" s="1"/>
  <c r="G28" i="4"/>
  <c r="F25" i="5" s="1"/>
  <c r="F28" i="4"/>
  <c r="E25" i="5" s="1"/>
  <c r="E28" i="4"/>
  <c r="D25" i="5" s="1"/>
  <c r="D28" i="4"/>
  <c r="B25" i="5" s="1"/>
  <c r="C28" i="4"/>
  <c r="C25" i="5" s="1"/>
  <c r="I27" i="4"/>
  <c r="H27" i="4"/>
  <c r="G24" i="5" s="1"/>
  <c r="G27" i="4"/>
  <c r="F24" i="5" s="1"/>
  <c r="F27" i="4"/>
  <c r="E24" i="5" s="1"/>
  <c r="E27" i="4"/>
  <c r="D24" i="5" s="1"/>
  <c r="D27" i="4"/>
  <c r="B24" i="5" s="1"/>
  <c r="C27" i="4"/>
  <c r="C24" i="5" s="1"/>
  <c r="I26" i="4"/>
  <c r="H26" i="4"/>
  <c r="G23" i="5" s="1"/>
  <c r="G26" i="4"/>
  <c r="F23" i="5" s="1"/>
  <c r="F26" i="4"/>
  <c r="E23" i="5" s="1"/>
  <c r="E26" i="4"/>
  <c r="D23" i="5" s="1"/>
  <c r="D26" i="4"/>
  <c r="B23" i="5" s="1"/>
  <c r="C26" i="4"/>
  <c r="C23" i="5" s="1"/>
  <c r="I25" i="4"/>
  <c r="H25" i="4"/>
  <c r="G22" i="5" s="1"/>
  <c r="G25" i="4"/>
  <c r="F22" i="5" s="1"/>
  <c r="F25" i="4"/>
  <c r="E22" i="5" s="1"/>
  <c r="E25" i="4"/>
  <c r="D22" i="5" s="1"/>
  <c r="D25" i="4"/>
  <c r="B22" i="5" s="1"/>
  <c r="C25" i="4"/>
  <c r="C22" i="5" s="1"/>
  <c r="I24" i="4"/>
  <c r="H24" i="4"/>
  <c r="G21" i="5" s="1"/>
  <c r="G24" i="4"/>
  <c r="F21" i="5" s="1"/>
  <c r="F24" i="4"/>
  <c r="E21" i="5" s="1"/>
  <c r="E24" i="4"/>
  <c r="D21" i="5" s="1"/>
  <c r="D24" i="4"/>
  <c r="B21" i="5" s="1"/>
  <c r="C24" i="4"/>
  <c r="C21" i="5" s="1"/>
  <c r="I23" i="4"/>
  <c r="H23" i="4"/>
  <c r="G20" i="5" s="1"/>
  <c r="G23" i="4"/>
  <c r="F20" i="5" s="1"/>
  <c r="F23" i="4"/>
  <c r="E20" i="5" s="1"/>
  <c r="E23" i="4"/>
  <c r="D20" i="5" s="1"/>
  <c r="D23" i="4"/>
  <c r="B20" i="5" s="1"/>
  <c r="C23" i="4"/>
  <c r="C20" i="5" s="1"/>
  <c r="I22" i="4"/>
  <c r="H22" i="4"/>
  <c r="G19" i="5" s="1"/>
  <c r="G22" i="4"/>
  <c r="F19" i="5" s="1"/>
  <c r="F22" i="4"/>
  <c r="E19" i="5" s="1"/>
  <c r="E22" i="4"/>
  <c r="D19" i="5" s="1"/>
  <c r="D22" i="4"/>
  <c r="B19" i="5" s="1"/>
  <c r="C22" i="4"/>
  <c r="C19" i="5" s="1"/>
  <c r="I21" i="4"/>
  <c r="H21" i="4"/>
  <c r="G18" i="5" s="1"/>
  <c r="G21" i="4"/>
  <c r="F18" i="5" s="1"/>
  <c r="F21" i="4"/>
  <c r="E18" i="5" s="1"/>
  <c r="E21" i="4"/>
  <c r="D18" i="5" s="1"/>
  <c r="D21" i="4"/>
  <c r="B18" i="5" s="1"/>
  <c r="C21" i="4"/>
  <c r="C18" i="5" s="1"/>
  <c r="I20" i="4"/>
  <c r="H20" i="4"/>
  <c r="G17" i="5" s="1"/>
  <c r="G20" i="4"/>
  <c r="F17" i="5" s="1"/>
  <c r="F20" i="4"/>
  <c r="E17" i="5" s="1"/>
  <c r="E20" i="4"/>
  <c r="D17" i="5" s="1"/>
  <c r="D20" i="4"/>
  <c r="B17" i="5" s="1"/>
  <c r="C20" i="4"/>
  <c r="C17" i="5" s="1"/>
  <c r="I19" i="4"/>
  <c r="H19" i="4"/>
  <c r="G16" i="5" s="1"/>
  <c r="G19" i="4"/>
  <c r="F16" i="5" s="1"/>
  <c r="F19" i="4"/>
  <c r="E16" i="5" s="1"/>
  <c r="E19" i="4"/>
  <c r="D16" i="5" s="1"/>
  <c r="D19" i="4"/>
  <c r="B16" i="5" s="1"/>
  <c r="C19" i="4"/>
  <c r="C16" i="5" s="1"/>
  <c r="I18" i="4"/>
  <c r="H18" i="4"/>
  <c r="G15" i="5" s="1"/>
  <c r="G18" i="4"/>
  <c r="F15" i="5" s="1"/>
  <c r="F18" i="4"/>
  <c r="E15" i="5" s="1"/>
  <c r="E18" i="4"/>
  <c r="D15" i="5" s="1"/>
  <c r="D18" i="4"/>
  <c r="B15" i="5" s="1"/>
  <c r="C18" i="4"/>
  <c r="C15" i="5" s="1"/>
  <c r="I17" i="4"/>
  <c r="H17" i="4"/>
  <c r="G14" i="5" s="1"/>
  <c r="G17" i="4"/>
  <c r="F14" i="5" s="1"/>
  <c r="F17" i="4"/>
  <c r="E14" i="5" s="1"/>
  <c r="E17" i="4"/>
  <c r="D14" i="5" s="1"/>
  <c r="D17" i="4"/>
  <c r="B14" i="5" s="1"/>
  <c r="C17" i="4"/>
  <c r="C14" i="5" s="1"/>
  <c r="I16" i="4"/>
  <c r="H16" i="4"/>
  <c r="G13" i="5" s="1"/>
  <c r="G16" i="4"/>
  <c r="F13" i="5" s="1"/>
  <c r="F16" i="4"/>
  <c r="E13" i="5" s="1"/>
  <c r="E16" i="4"/>
  <c r="D13" i="5" s="1"/>
  <c r="D16" i="4"/>
  <c r="B13" i="5" s="1"/>
  <c r="C16" i="4"/>
  <c r="C13" i="5" s="1"/>
  <c r="I15" i="4"/>
  <c r="H15" i="4"/>
  <c r="G12" i="5" s="1"/>
  <c r="G15" i="4"/>
  <c r="F12" i="5" s="1"/>
  <c r="F15" i="4"/>
  <c r="E12" i="5" s="1"/>
  <c r="E15" i="4"/>
  <c r="D12" i="5" s="1"/>
  <c r="D15" i="4"/>
  <c r="B12" i="5" s="1"/>
  <c r="C15" i="4"/>
  <c r="C12" i="5" s="1"/>
  <c r="I14" i="4"/>
  <c r="H14" i="4"/>
  <c r="G11" i="5" s="1"/>
  <c r="G14" i="4"/>
  <c r="F11" i="5" s="1"/>
  <c r="F14" i="4"/>
  <c r="E11" i="5" s="1"/>
  <c r="E14" i="4"/>
  <c r="D11" i="5" s="1"/>
  <c r="D14" i="4"/>
  <c r="B11" i="5" s="1"/>
  <c r="C14" i="4"/>
  <c r="C11" i="5" s="1"/>
  <c r="I13" i="4"/>
  <c r="H13" i="4"/>
  <c r="G10" i="5" s="1"/>
  <c r="G13" i="4"/>
  <c r="F10" i="5" s="1"/>
  <c r="F13" i="4"/>
  <c r="E10" i="5" s="1"/>
  <c r="E13" i="4"/>
  <c r="D10" i="5" s="1"/>
  <c r="D13" i="4"/>
  <c r="B10" i="5" s="1"/>
  <c r="C13" i="4"/>
  <c r="C10" i="5" s="1"/>
  <c r="I12" i="4"/>
  <c r="H12" i="4"/>
  <c r="G9" i="5" s="1"/>
  <c r="G12" i="4"/>
  <c r="F9" i="5" s="1"/>
  <c r="F12" i="4"/>
  <c r="E9" i="5" s="1"/>
  <c r="E12" i="4"/>
  <c r="D9" i="5" s="1"/>
  <c r="D12" i="4"/>
  <c r="B9" i="5" s="1"/>
  <c r="C12" i="4"/>
  <c r="C9" i="5" s="1"/>
  <c r="I11" i="4"/>
  <c r="H11" i="4"/>
  <c r="G8" i="5" s="1"/>
  <c r="G11" i="4"/>
  <c r="F8" i="5" s="1"/>
  <c r="F11" i="4"/>
  <c r="E8" i="5" s="1"/>
  <c r="E11" i="4"/>
  <c r="D8" i="5" s="1"/>
  <c r="D11" i="4"/>
  <c r="B8" i="5" s="1"/>
  <c r="C11" i="4"/>
  <c r="C8" i="5" s="1"/>
  <c r="I10" i="4"/>
  <c r="H10" i="4"/>
  <c r="G7" i="5" s="1"/>
  <c r="G10" i="4"/>
  <c r="F7" i="5" s="1"/>
  <c r="F10" i="4"/>
  <c r="E7" i="5" s="1"/>
  <c r="E10" i="4"/>
  <c r="D7" i="5" s="1"/>
  <c r="D10" i="4"/>
  <c r="B7" i="5" s="1"/>
  <c r="C10" i="4"/>
  <c r="C7" i="5" s="1"/>
  <c r="I9" i="4"/>
  <c r="H9" i="4"/>
  <c r="G6" i="5" s="1"/>
  <c r="G9" i="4"/>
  <c r="F6" i="5" s="1"/>
  <c r="F9" i="4"/>
  <c r="E6" i="5" s="1"/>
  <c r="E9" i="4"/>
  <c r="D6" i="5" s="1"/>
  <c r="D9" i="4"/>
  <c r="B6" i="5" s="1"/>
  <c r="C9" i="4"/>
  <c r="C6" i="5" s="1"/>
  <c r="I8" i="4"/>
  <c r="H8" i="4"/>
  <c r="G5" i="5" s="1"/>
  <c r="G8" i="4"/>
  <c r="F5" i="5" s="1"/>
  <c r="F8" i="4"/>
  <c r="E5" i="5" s="1"/>
  <c r="E8" i="4"/>
  <c r="D5" i="5" s="1"/>
  <c r="D8" i="4"/>
  <c r="B5" i="5" s="1"/>
  <c r="C8" i="4"/>
  <c r="C5" i="5" s="1"/>
  <c r="I7" i="4"/>
  <c r="I31" i="4" s="1"/>
  <c r="H7" i="4"/>
  <c r="G7" i="4"/>
  <c r="F7" i="4"/>
  <c r="E7" i="4"/>
  <c r="D7" i="4"/>
  <c r="C7" i="4"/>
  <c r="F22" i="2"/>
  <c r="C22" i="2"/>
  <c r="F21" i="2"/>
  <c r="C21" i="2"/>
  <c r="C20" i="2"/>
  <c r="F19" i="2"/>
  <c r="H16" i="2"/>
  <c r="F16" i="2"/>
  <c r="C16" i="2"/>
  <c r="H15" i="2"/>
  <c r="F15" i="2"/>
  <c r="C15" i="2"/>
  <c r="H14" i="2"/>
  <c r="F14" i="2"/>
  <c r="C14" i="2"/>
  <c r="G8" i="2"/>
  <c r="F8" i="2"/>
  <c r="E8" i="2"/>
  <c r="D8" i="2"/>
  <c r="C8" i="2"/>
  <c r="B8" i="2"/>
  <c r="Y222" i="9" l="1"/>
  <c r="Y223" i="9"/>
  <c r="D19" i="8"/>
  <c r="E19" i="8" s="1"/>
  <c r="H31" i="4"/>
  <c r="G4" i="5"/>
  <c r="G31" i="4"/>
  <c r="F4" i="5"/>
  <c r="E4" i="5"/>
  <c r="F31" i="4"/>
  <c r="D4" i="5"/>
  <c r="E31" i="4"/>
  <c r="B4" i="5"/>
  <c r="D31" i="4"/>
  <c r="C4" i="5"/>
  <c r="C31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AEE7BD-2D7E-4018-B2B4-655F980A9CC4}" keepAlive="1" name="Query - BU_Product_Summary" description="Connection to the 'BU_Product_Summary' query in the workbook." type="5" refreshedVersion="8" background="1" saveData="1">
    <dbPr connection="Provider=Microsoft.Mashup.OleDb.1;Data Source=$Workbook$;Location=BU_Product_Summary;Extended Properties=&quot;&quot;" command="SELECT * FROM [BU_Product_Summary]"/>
  </connection>
  <connection id="2" xr16:uid="{794ACFCF-4598-401B-80E9-8F830B8853D4}" keepAlive="1" name="Query - Monthly_Summary" description="Connection to the 'Monthly_Summary' query in the workbook." type="5" refreshedVersion="8" background="1" saveData="1">
    <dbPr connection="Provider=Microsoft.Mashup.OleDb.1;Data Source=$Workbook$;Location=Monthly_Summary;Extended Properties=&quot;&quot;" command="SELECT * FROM [Monthly_Summary]"/>
  </connection>
  <connection id="3" xr16:uid="{D92B6154-D9E3-4E2A-B281-E7D7E26451EE}" keepAlive="1" name="Query - QA_AuditSummary" description="Connection to the 'QA_AuditSummary' query in the workbook." type="5" refreshedVersion="8" background="1" saveData="1">
    <dbPr connection="Provider=Microsoft.Mashup.OleDb.1;Data Source=$Workbook$;Location=QA_AuditSummary;Extended Properties=&quot;&quot;" command="SELECT * FROM [QA_AuditSummary]"/>
  </connection>
  <connection id="4" xr16:uid="{8A9B8E39-7E60-4CB2-8E62-921A957F95FA}" keepAlive="1" name="Query - QA_ValidationModule" description="Connection to the 'QA_ValidationModule' query in the workbook." type="5" refreshedVersion="8" background="1" saveData="1">
    <dbPr connection="Provider=Microsoft.Mashup.OleDb.1;Data Source=$Workbook$;Location=QA_ValidationModule;Extended Properties=&quot;&quot;" command="SELECT * FROM [QA_ValidationModule]"/>
  </connection>
  <connection id="5" xr16:uid="{7E4F2EA4-7645-47A0-BC64-BF7500069617}" keepAlive="1" name="Query - Segment_Discount_Summary" description="Connection to the 'Segment_Discount_Summary' query in the workbook." type="5" refreshedVersion="8" background="1" saveData="1">
    <dbPr connection="Provider=Microsoft.Mashup.OleDb.1;Data Source=$Workbook$;Location=Segment_Discount_Summary;Extended Properties=&quot;&quot;" command="SELECT * FROM [Segment_Discount_Summary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<sst xmlns="http://schemas.openxmlformats.org/spreadsheetml/2006/main" count="3303" uniqueCount="316">
  <si>
    <t>KANGAROO REVENUE COMMAND CENTRE</t>
  </si>
  <si>
    <t>Audience-Adaptive FP&amp;A Revenue Dashboard  ·  8-sheet Portfolio Workbook  ·  Portfolio Case Study</t>
  </si>
  <si>
    <t>Built by Julaluk Clements  ·  CPA (ASA)  ·  halloffrey.com</t>
  </si>
  <si>
    <t>WORKBOOK NAVIGATION</t>
  </si>
  <si>
    <t>PURPOSE</t>
  </si>
  <si>
    <t>AUDIENCE</t>
  </si>
  <si>
    <t>📋 Cover</t>
  </si>
  <si>
    <t>Workbook index, version notes, AI disclosure</t>
  </si>
  <si>
    <t>All</t>
  </si>
  <si>
    <t>📊 Executive Summary</t>
  </si>
  <si>
    <t>KPI cards, revenue trend, key signals — one-page view</t>
  </si>
  <si>
    <t>CEO / CFO / Board</t>
  </si>
  <si>
    <t>👁 Audience Lens</t>
  </si>
  <si>
    <t>What each stakeholder cares about and why</t>
  </si>
  <si>
    <t>FP&amp;A / Finance leads</t>
  </si>
  <si>
    <t>📈 Revenue Analysis</t>
  </si>
  <si>
    <t>Net revenue, ARR/MRR, discount risk, deferred quality</t>
  </si>
  <si>
    <t>CFO / FP&amp;A / Sales</t>
  </si>
  <si>
    <t>🗺 Dashboard Logic</t>
  </si>
  <si>
    <t>KPI definitions, metric rationale, audience mapping</t>
  </si>
  <si>
    <t>FP&amp;A / Analysts</t>
  </si>
  <si>
    <t>✅ QA Control</t>
  </si>
  <si>
    <t>Row count, reconciliation checks, integrity flags</t>
  </si>
  <si>
    <t>Finance / Audit</t>
  </si>
  <si>
    <t>📊 Chart Data</t>
  </si>
  <si>
    <t>Source data tables powering all four embedded charts</t>
  </si>
  <si>
    <t>Internal / FP&amp;A</t>
  </si>
  <si>
    <t>📉 Charts</t>
  </si>
  <si>
    <t>Monthly Net Revenue, BU mix, ARR/MRR, Discount risk</t>
  </si>
  <si>
    <t>All / Recruiters</t>
  </si>
  <si>
    <t>VERSION</t>
  </si>
  <si>
    <t>Version</t>
  </si>
  <si>
    <t>1.0  ·  Audience-Adaptive Edition</t>
  </si>
  <si>
    <t>Dataset</t>
  </si>
  <si>
    <t>216 rows  ·  Jan 2024 – Dec 2025  ·  3 BUs  ·  3 Products</t>
  </si>
  <si>
    <t>AI Disclosure</t>
  </si>
  <si>
    <t>AI-assisted build: code generation and layout acceleration used. Finance logic, KPI selection, audience design, interpretation and final review directed and validated by Julaluk Clements.</t>
  </si>
  <si>
    <t>Purpose</t>
  </si>
  <si>
    <t>Portfolio case study demonstrating FP&amp;A revenue analysis, audience-adaptive executive reporting, and finance-led dashboard design.</t>
  </si>
  <si>
    <t>EXECUTIVE SUMMARY  ·  Revenue Command Centre</t>
  </si>
  <si>
    <t>Key performance signals across Net Revenue, ARR/MRR, Discount Risk and Deferred Revenue  ·  Jan 2024 – Dec 2025</t>
  </si>
  <si>
    <t>KPI CARDS  ·  Full Dataset  ·  All Business Units</t>
  </si>
  <si>
    <t>TOTAL NET REVENUE</t>
  </si>
  <si>
    <t>TOTAL GROSS REVENUE</t>
  </si>
  <si>
    <t>TOTAL ARR</t>
  </si>
  <si>
    <t>AVG DISCOUNT %</t>
  </si>
  <si>
    <t>DEFERRED REV Δ</t>
  </si>
  <si>
    <t>RECOGNIZED REVENUE</t>
  </si>
  <si>
    <t>22.6M total — Expansion leads revenue type</t>
  </si>
  <si>
    <t>25.8M gross before discount reduction</t>
  </si>
  <si>
    <t>271M ARR across 216 data points</t>
  </si>
  <si>
    <t>11.6% blended — monitor for margin erosion</t>
  </si>
  <si>
    <t>Positive deferred — revenue quality intact</t>
  </si>
  <si>
    <t>23.2M recognized across full period</t>
  </si>
  <si>
    <t>NET REVENUE BY BUSINESS UNIT</t>
  </si>
  <si>
    <t>NET REVENUE BY PRODUCT</t>
  </si>
  <si>
    <t>NET REVENUE BY SEGMENT</t>
  </si>
  <si>
    <t>Business Unit</t>
  </si>
  <si>
    <t>Net Revenue</t>
  </si>
  <si>
    <t>Product</t>
  </si>
  <si>
    <t>Segment</t>
  </si>
  <si>
    <t>North America</t>
  </si>
  <si>
    <t>Product B</t>
  </si>
  <si>
    <t>Enterprise</t>
  </si>
  <si>
    <t>APAC</t>
  </si>
  <si>
    <t>Product A</t>
  </si>
  <si>
    <t>Mid-Market</t>
  </si>
  <si>
    <t>Europe</t>
  </si>
  <si>
    <t>Product C</t>
  </si>
  <si>
    <t>SMB</t>
  </si>
  <si>
    <t>NET REVENUE BY TYPE</t>
  </si>
  <si>
    <t>DISCOUNT RISK SIGNAL</t>
  </si>
  <si>
    <t>Revenue Type</t>
  </si>
  <si>
    <t>Blended Avg Discount</t>
  </si>
  <si>
    <t>Approaching 12% threshold — monitor quarterly</t>
  </si>
  <si>
    <t>Expansion</t>
  </si>
  <si>
    <t>High-Discount Segment</t>
  </si>
  <si>
    <t>SMB segment carries highest discount exposure</t>
  </si>
  <si>
    <t>New</t>
  </si>
  <si>
    <t>Expansion Revenue Mix</t>
  </si>
  <si>
    <t>Expansion as top revenue type — healthy signal</t>
  </si>
  <si>
    <t>Renewal</t>
  </si>
  <si>
    <t>Renewal Risk</t>
  </si>
  <si>
    <t>Renewal mix below 35% — retention strategy needed</t>
  </si>
  <si>
    <t>AUDIENCE LENS  ·  What Each Stakeholder Needs to See</t>
  </si>
  <si>
    <t>Audience-adaptive FP&amp;A: same data, different lens, different decision support</t>
  </si>
  <si>
    <t xml:space="preserve">  👔  CEO  ·  "Are we growing? Are we at risk?"</t>
  </si>
  <si>
    <t>KPIs TO SHOW</t>
  </si>
  <si>
    <t>ANALYTICAL FOCUS</t>
  </si>
  <si>
    <t>WHAT TO AVOID</t>
  </si>
  <si>
    <t>SIGNAL COLOUR</t>
  </si>
  <si>
    <t>• Total Net Revenue
• Revenue growth YoY
• Expansion vs Renewal mix
• Top BU performance</t>
  </si>
  <si>
    <t>Business momentum and strategic direction. Wants a one-number story with one risk flag.</t>
  </si>
  <si>
    <t>Do not show discount tables, deferred schedules, or formula detail.</t>
  </si>
  <si>
    <t>Accent: 00A896</t>
  </si>
  <si>
    <t xml:space="preserve">  📊  CFO  ·  "Is revenue quality intact? Where is margin risk?"</t>
  </si>
  <si>
    <t>• Deferred revenue quality
• Discount rate trend
• ARR/MRR movement
• Recognized vs Gross gap</t>
  </si>
  <si>
    <t>Revenue integrity, margin protection, and forecast reliability. Wants to see QA signals.</t>
  </si>
  <si>
    <t>Do not bury discount risk in averages — CFO needs segment-level exposure.</t>
  </si>
  <si>
    <t>Accent: F0A040</t>
  </si>
  <si>
    <t xml:space="preserve">  🧮  FP&amp;A LEAD  ·  "What drives the numbers? Where do I need to reforecast?"</t>
  </si>
  <si>
    <t>• All KPIs with full segmentation
• MoM revenue movement
• BU × Product × Segment mix
• Deferred Δ trend</t>
  </si>
  <si>
    <t>Full analytical depth. Needs to explain variances, model scenarios, and brief executives.</t>
  </si>
  <si>
    <t>Nothing — FP&amp;A consumes all layers.</t>
  </si>
  <si>
    <t xml:space="preserve">  🎯  SALES LEADERSHIP  ·  "Which products, segments, and regions are winning?"</t>
  </si>
  <si>
    <t>• Net Revenue by BU
• New vs Expansion vs Renewal split
• Product performance ranking
• Discount % by segment</t>
  </si>
  <si>
    <t>Pipeline quality, win rate by segment, and where to focus quota pressure.</t>
  </si>
  <si>
    <t>Do not show deferred revenue or ARR mechanics — confuses sales narrative.</t>
  </si>
  <si>
    <t xml:space="preserve">  🏛  BOARD  ·  "Are we on track? What is the risk to forecast?"</t>
  </si>
  <si>
    <t>• Total ARR
• Net Revenue vs prior period
• Discount risk flag
• One-line deferred quality note</t>
  </si>
  <si>
    <t>Strategic confidence. Board wants three numbers and one risk. No operational detail.</t>
  </si>
  <si>
    <t>No formula detail, no segment tables, no month-by-month data.</t>
  </si>
  <si>
    <t>Accent: C8D6DF</t>
  </si>
  <si>
    <t>REVENUE ANALYSIS  ·  Net Revenue, ARR/MRR, Discount Risk, Deferred Quality</t>
  </si>
  <si>
    <t>MONTHLY NET REVENUE TREND  ·  All Business Units</t>
  </si>
  <si>
    <t>Month</t>
  </si>
  <si>
    <t>Gross Revenue</t>
  </si>
  <si>
    <t>ARR</t>
  </si>
  <si>
    <t>MRR</t>
  </si>
  <si>
    <t>Avg Discount %</t>
  </si>
  <si>
    <t>Deferred Δ</t>
  </si>
  <si>
    <t>Recognized Rev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</si>
  <si>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</si>
  <si>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</si>
  <si>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</si>
  <si>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</si>
  <si>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</si>
  <si>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</si>
  <si>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</si>
  <si>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</si>
  <si>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</si>
  <si>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</si>
  <si>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</si>
  <si>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</si>
  <si>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</si>
  <si>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</si>
  <si>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</si>
  <si>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</si>
  <si>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</si>
  <si>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</si>
  <si>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</si>
  <si>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</si>
  <si>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</si>
  <si>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</si>
  <si>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</si>
  <si>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</si>
  <si>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TOTAL / AVERAGE</t>
  </si>
  <si>
    <t>NET REVENUE  ·  Business Unit × Product</t>
  </si>
  <si>
    <t>Total</t>
  </si>
  <si>
    <t>CHART DATA  ·  Source tables for all embedded charts</t>
  </si>
  <si>
    <t>Avg Disc %</t>
  </si>
  <si>
    <t>Customer Segment</t>
  </si>
  <si>
    <t>CHARTS  ·  Revenue Momentum, Business Unit Mix, ARR/MRR Trend, Discount Risk</t>
  </si>
  <si>
    <t>All charts pull live from Chart Data sheet — update Raw Data to refresh</t>
  </si>
  <si>
    <t>DASHBOARD LOGIC  ·  KPI Definitions, Metric Rationale &amp; Audience Mapping</t>
  </si>
  <si>
    <t>KPI / METRIC</t>
  </si>
  <si>
    <t>DEFINITION</t>
  </si>
  <si>
    <t>CALCULATION</t>
  </si>
  <si>
    <t>WHY IT MATTERS</t>
  </si>
  <si>
    <t>PRIMARY AUDIENCE</t>
  </si>
  <si>
    <t>Gross revenue after discounts applied</t>
  </si>
  <si>
    <t>Gross Revenue × (1 – Discount %)</t>
  </si>
  <si>
    <t>Primary top-line measure — what the business actually earns after commercial concessions</t>
  </si>
  <si>
    <t>All audiences</t>
  </si>
  <si>
    <t>Total revenue before any discount reduction</t>
  </si>
  <si>
    <t>Units Sold × Price per Unit</t>
  </si>
  <si>
    <t>Establishes the pre-discount baseline; gap to Net Revenue reveals total discount cost</t>
  </si>
  <si>
    <t>CFO / FP&amp;A</t>
  </si>
  <si>
    <t>ARR (Annual Recurring Revenue)</t>
  </si>
  <si>
    <t>Annualised value of recurring revenue contracts</t>
  </si>
  <si>
    <t>MRR × 12</t>
  </si>
  <si>
    <t>Board and investor metric — signals business scale and revenue predictability</t>
  </si>
  <si>
    <t>MRR (Monthly Recurring Revenue)</t>
  </si>
  <si>
    <t>Monthly recurring contract value</t>
  </si>
  <si>
    <t>Net Revenue (recurring portion)</t>
  </si>
  <si>
    <t>Operational recurring revenue signal — used in ARR bridge and churn analysis</t>
  </si>
  <si>
    <t>Discount %</t>
  </si>
  <si>
    <t>Commercial discount applied to gross revenue</t>
  </si>
  <si>
    <t>1 – (Net Revenue / Gross Revenue)</t>
  </si>
  <si>
    <t>Margin risk signal — discounts above 12% compress margin and indicate pricing pressure</t>
  </si>
  <si>
    <t>CFO / Sales Leadership</t>
  </si>
  <si>
    <t>Deferred Revenue Δ</t>
  </si>
  <si>
    <t>Change in revenue recognised in future periods</t>
  </si>
  <si>
    <t>Recognised Revenue – Net Revenue (net movement)</t>
  </si>
  <si>
    <t>Revenue quality indicator — positive deferred means future revenue already contracted</t>
  </si>
  <si>
    <t>CFO / FP&amp;A / Audit</t>
  </si>
  <si>
    <t>Recognized Revenue</t>
  </si>
  <si>
    <t>Revenue earned and recognised in the current period</t>
  </si>
  <si>
    <t>Net Revenue + Deferred Revenue Change</t>
  </si>
  <si>
    <t>AASB 15 / IFRS 15 reporting metric — what appears on the P&amp;L in the period</t>
  </si>
  <si>
    <t>Revenue Mix %</t>
  </si>
  <si>
    <t>Share of revenue by type (New / Expansion / Renewal)</t>
  </si>
  <si>
    <t>Segment Revenue / Total Net Revenue</t>
  </si>
  <si>
    <t>Growth quality signal — Expansion-led growth is healthier than New-customer dependence</t>
  </si>
  <si>
    <t>CEO / CFO / Sales</t>
  </si>
  <si>
    <t>KPI × AUDIENCE MAPPING MATRIX</t>
  </si>
  <si>
    <t>KPI</t>
  </si>
  <si>
    <t>CEO</t>
  </si>
  <si>
    <t>CFO</t>
  </si>
  <si>
    <t>FP&amp;A</t>
  </si>
  <si>
    <t>Sales</t>
  </si>
  <si>
    <t>Board</t>
  </si>
  <si>
    <t>✅</t>
  </si>
  <si>
    <t>—</t>
  </si>
  <si>
    <t>⚠️</t>
  </si>
  <si>
    <t>Deferred Rev Δ</t>
  </si>
  <si>
    <t>QA CONTROL  ·  Data Integrity &amp; Reconciliation Checks</t>
  </si>
  <si>
    <t>All checks run against Raw Data sheet  ·  13 integrity checks  ·  PASS = no action  ·  FAIL = investigate before publishing</t>
  </si>
  <si>
    <t>CHECK</t>
  </si>
  <si>
    <t>EXPECTED</t>
  </si>
  <si>
    <t>ACTUAL</t>
  </si>
  <si>
    <t>RESULT</t>
  </si>
  <si>
    <t>NOTE</t>
  </si>
  <si>
    <t>Row Count = 216</t>
  </si>
  <si>
    <t>216</t>
  </si>
  <si>
    <t>Row count on Month col B — col A is blank padding, never count col A</t>
  </si>
  <si>
    <t>Total Gross Revenue</t>
  </si>
  <si>
    <t>$25,775,590</t>
  </si>
  <si>
    <t>Gross Revenue col I</t>
  </si>
  <si>
    <t>Total Net Revenue</t>
  </si>
  <si>
    <t>$22,598,636</t>
  </si>
  <si>
    <t>Net Revenue col K — primary top-line check</t>
  </si>
  <si>
    <t>Avg Discount % within range</t>
  </si>
  <si>
    <t>0.08 – 0.18</t>
  </si>
  <si>
    <t>Discount col J stored as decimal (0.08 = 8%) — check range 8%-18%</t>
  </si>
  <si>
    <t>ARR ≥ Net Revenue (always)</t>
  </si>
  <si>
    <t>ARR &gt; Net Rev</t>
  </si>
  <si>
    <t>ARR col N vs Net Revenue col K — ARR annualised, always larger</t>
  </si>
  <si>
    <t>Deferred Revenue — No blanks</t>
  </si>
  <si>
    <t>0 blanks</t>
  </si>
  <si>
    <t>Deferred Revenue Change col L — no blanks in 216 rows</t>
  </si>
  <si>
    <t>Currency = USD throughout</t>
  </si>
  <si>
    <t>Currency col P — all 216 rows must be USD</t>
  </si>
  <si>
    <t>Net Revenue &lt; Gross Revenue (always)</t>
  </si>
  <si>
    <t>0 violations</t>
  </si>
  <si>
    <t>SUMPRODUCT compares Net Revenue col K &gt; Gross Revenue col I row-by-row. Must be 0.</t>
  </si>
  <si>
    <t>Recognized Revenue reconciliation</t>
  </si>
  <si>
    <t>~$23.2M</t>
  </si>
  <si>
    <t>Recognized Revenue col M — AASB 15 check</t>
  </si>
  <si>
    <t>Date range = Jan 2024 – Dec 2025</t>
  </si>
  <si>
    <t>24 months</t>
  </si>
  <si>
    <t>Unique months in col B — Jan 2024 to Dec 2025 = 24</t>
  </si>
  <si>
    <t>Discount logic tie-back (sample)</t>
  </si>
  <si>
    <t>ARR vs MRR×12 alignment</t>
  </si>
  <si>
    <t>0 row deviations</t>
  </si>
  <si>
    <t>Row-level check: ARR/MRR ratio must equal 12 (±0.01) for every row. Aggregate SUM comparison is unreliable — rounding errors net off and can mask real misalignment. 0 deviations = data is consistent.</t>
  </si>
  <si>
    <t>Row-Level Audit — FAIL count</t>
  </si>
  <si>
    <t>0 failures</t>
  </si>
  <si>
    <t>Row-level audit in Raw Data cols R-V: Net Revenue logic, ARR=MRR×12, Recognized bridge, Critical fields complete.</t>
  </si>
  <si>
    <t>Units Sold</t>
  </si>
  <si>
    <t>Price per Unit</t>
  </si>
  <si>
    <t>Discount (%)</t>
  </si>
  <si>
    <t>Deferred Revenue Change</t>
  </si>
  <si>
    <t>Currency</t>
  </si>
  <si>
    <t>Month_dt</t>
  </si>
  <si>
    <t>Year</t>
  </si>
  <si>
    <t>MonthNum</t>
  </si>
  <si>
    <t>✔ Net Rev Check</t>
  </si>
  <si>
    <t>✔ ARR = MRR×12</t>
  </si>
  <si>
    <t>✔ Recognized Bridge</t>
  </si>
  <si>
    <t>✔ Critical Fields</t>
  </si>
  <si>
    <t>⚑ Row Status</t>
  </si>
  <si>
    <t>USD</t>
  </si>
  <si>
    <t>AUDIT SUMMARY</t>
  </si>
  <si>
    <t>Total Rows</t>
  </si>
  <si>
    <t>✅ PASS Rows</t>
  </si>
  <si>
    <t>❌ FAIL Rows</t>
  </si>
  <si>
    <t>_Computed_Gross</t>
  </si>
  <si>
    <t>_Gap_Gross</t>
  </si>
  <si>
    <t>_Computed_Net</t>
  </si>
  <si>
    <t>_Gap_Net</t>
  </si>
  <si>
    <t>_Computed_Recognized</t>
  </si>
  <si>
    <t>_Gap_Recognized</t>
  </si>
  <si>
    <t>_Computed_ARR</t>
  </si>
  <si>
    <t>_Gap_ARR</t>
  </si>
  <si>
    <t>Check_Gross_Revenue</t>
  </si>
  <si>
    <t>Check_Net_Revenue</t>
  </si>
  <si>
    <t>Check_Recognized_Bridge</t>
  </si>
  <si>
    <t>Check_ARR_MRR</t>
  </si>
  <si>
    <t>Check_Critical_Fields</t>
  </si>
  <si>
    <t>Row_Status</t>
  </si>
  <si>
    <t>Failure_Reason</t>
  </si>
  <si>
    <t>PASS</t>
  </si>
  <si>
    <t>No issues</t>
  </si>
  <si>
    <t>Check</t>
  </si>
  <si>
    <t>Total_Rows</t>
  </si>
  <si>
    <t>Pass</t>
  </si>
  <si>
    <t>Fail</t>
  </si>
  <si>
    <t>Pass_Rate</t>
  </si>
  <si>
    <t>Status</t>
  </si>
  <si>
    <t>Overall Row Status</t>
  </si>
  <si>
    <t>CLEAN</t>
  </si>
  <si>
    <t>Gross Revenue Logic</t>
  </si>
  <si>
    <t>Net Revenue Logic</t>
  </si>
  <si>
    <t>Recognized Revenue Bridge</t>
  </si>
  <si>
    <t>ARR = MRR x 12</t>
  </si>
  <si>
    <t>Critical Fields Complete</t>
  </si>
  <si>
    <t>Deferred Rev Change</t>
  </si>
  <si>
    <t>MoM Net Rev Change</t>
  </si>
  <si>
    <t>Avg Discount Pct</t>
  </si>
  <si>
    <t>MoM Net Rev Pct</t>
  </si>
  <si>
    <t>% of Total Net Revenue</t>
  </si>
  <si>
    <t>Total Gross Rev</t>
  </si>
  <si>
    <t>Total Net Rev</t>
  </si>
  <si>
    <t>Row Count</t>
  </si>
  <si>
    <t>Risk Flag</t>
  </si>
  <si>
    <t>Total Discount Amount</t>
  </si>
  <si>
    <t>Discount as Pct of Gross</t>
  </si>
  <si>
    <t>Risk Note</t>
  </si>
  <si>
    <t>HIGH</t>
  </si>
  <si>
    <t>Both avg discount and total discount as % of gross exceed 12% threshold</t>
  </si>
  <si>
    <t>Total discount as % of gross exceeds 12% threshold</t>
  </si>
  <si>
    <t>OK</t>
  </si>
  <si>
    <t>Within acceptable range</t>
  </si>
  <si>
    <t>Gap &lt; $500 (rounding tolerance)</t>
  </si>
  <si>
    <t>Gap of -$64 across 216 rows is acceptable rounding — $0.30 per row average. Net Revenue in this dataset was independently stored, not derived directly from Gross × (1 - Disc%). Any gap exceeding $500 warrants investigation.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</si>
</sst>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\$#,##0"/>
    <numFmt numFmtId="165" formatCode="0.0%"/>
    <numFmt numFmtId="166" formatCode="\$#,##0.00"/>
    <numFmt numFmtId="167" formatCode="yyyy\-mm\-dd\ h:mm:ss"/>
    <numFmt numFmtId="168" formatCode="_-* #,##0.0_-;\-* #,##0.0_-;_-* &quot;-&quot;??_-;_-@_-"/>
    <numFmt numFmtId="169" formatCode="_-* #,##0_-;\-* #,##0_-;_-* &quot;-&quot;??_-;_-@_-"/>
  </numFmts>
  <fonts count="51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22"/>
      <color rgb="FFD4780A"/>
      <name val="Calibri"/>
      <family val="2"/>
    </font>
    <font>
      <sz val="11"/>
      <color rgb="FFC8D6DF"/>
      <name val="Calibri"/>
      <family val="2"/>
    </font>
    <font>
      <b/>
      <sz val="10"/>
      <color rgb="FF00A896"/>
      <name val="Calibri"/>
      <family val="2"/>
    </font>
    <font>
      <b/>
      <sz val="9"/>
      <color rgb="FFD4780A"/>
      <name val="Calibri"/>
      <family val="2"/>
    </font>
    <font>
      <b/>
      <sz val="9"/>
      <color rgb="FF8FA3B1"/>
      <name val="Calibri"/>
      <family val="2"/>
    </font>
    <font>
      <b/>
      <sz val="10"/>
      <color rgb="FFF0A040"/>
      <name val="Calibri"/>
      <family val="2"/>
    </font>
    <font>
      <sz val="10"/>
      <color rgb="FFF8FAFC"/>
      <name val="Calibri"/>
      <family val="2"/>
    </font>
    <font>
      <sz val="10"/>
      <color rgb="FF00A896"/>
      <name val="Calibri"/>
      <family val="2"/>
    </font>
    <font>
      <b/>
      <sz val="9"/>
      <color rgb="FFF0A040"/>
      <name val="Calibri"/>
      <family val="2"/>
    </font>
    <font>
      <sz val="9"/>
      <color rgb="FFC8D6DF"/>
      <name val="Calibri"/>
      <family val="2"/>
    </font>
    <font>
      <i/>
      <sz val="9"/>
      <color rgb="FFC8D6DF"/>
      <name val="Calibri"/>
      <family val="2"/>
    </font>
    <font>
      <b/>
      <sz val="16"/>
      <color rgb="FFD4780A"/>
      <name val="Calibri"/>
      <family val="2"/>
    </font>
    <font>
      <b/>
      <sz val="8"/>
      <color rgb="FF8FA3B1"/>
      <name val="Calibri"/>
      <family val="2"/>
    </font>
    <font>
      <b/>
      <sz val="16"/>
      <color rgb="FF00A896"/>
      <name val="Courier New"/>
      <family val="3"/>
    </font>
    <font>
      <b/>
      <sz val="16"/>
      <color rgb="FFF8FAFC"/>
      <name val="Courier New"/>
      <family val="3"/>
    </font>
    <font>
      <b/>
      <sz val="16"/>
      <color rgb="FFFF6B6B"/>
      <name val="Courier New"/>
      <family val="3"/>
    </font>
    <font>
      <b/>
      <sz val="16"/>
      <color rgb="FFF0A040"/>
      <name val="Courier New"/>
      <family val="3"/>
    </font>
    <font>
      <i/>
      <sz val="8"/>
      <color rgb="FFC8D6DF"/>
      <name val="Calibri"/>
      <family val="2"/>
    </font>
    <font>
      <b/>
      <sz val="9"/>
      <color rgb="FF0B1F33"/>
      <name val="Calibri"/>
      <family val="2"/>
    </font>
    <font>
      <sz val="10"/>
      <color rgb="FF00A896"/>
      <name val="Courier New"/>
      <family val="3"/>
    </font>
    <font>
      <b/>
      <sz val="9"/>
      <color rgb="FFFF6B6B"/>
      <name val="Courier New"/>
      <family val="3"/>
    </font>
    <font>
      <sz val="10"/>
      <color rgb="FFF0A040"/>
      <name val="Courier New"/>
      <family val="3"/>
    </font>
    <font>
      <b/>
      <sz val="9"/>
      <color rgb="FF00A896"/>
      <name val="Courier New"/>
      <family val="3"/>
    </font>
    <font>
      <b/>
      <sz val="9"/>
      <color rgb="FFF0A040"/>
      <name val="Courier New"/>
      <family val="3"/>
    </font>
    <font>
      <b/>
      <sz val="11"/>
      <color rgb="FF0B1F33"/>
      <name val="Calibri"/>
      <family val="2"/>
    </font>
    <font>
      <b/>
      <sz val="8"/>
      <color rgb="FFF0A040"/>
      <name val="Calibri"/>
      <family val="2"/>
    </font>
    <font>
      <sz val="9"/>
      <color rgb="FFF8FAFC"/>
      <name val="Calibri"/>
      <family val="2"/>
    </font>
    <font>
      <i/>
      <sz val="9"/>
      <color rgb="FFFF6B6B"/>
      <name val="Calibri"/>
      <family val="2"/>
    </font>
    <font>
      <sz val="9"/>
      <color rgb="FF00A896"/>
      <name val="Calibri"/>
      <family val="2"/>
    </font>
    <font>
      <sz val="9"/>
      <color rgb="FFF0A040"/>
      <name val="Calibri"/>
      <family val="2"/>
    </font>
    <font>
      <b/>
      <sz val="15"/>
      <color rgb="FFD4780A"/>
      <name val="Calibri"/>
      <family val="2"/>
    </font>
    <font>
      <sz val="9"/>
      <color rgb="FF00A896"/>
      <name val="Courier New"/>
      <family val="3"/>
    </font>
    <font>
      <sz val="9"/>
      <color rgb="FFF8FAFC"/>
      <name val="Courier New"/>
      <family val="3"/>
    </font>
    <font>
      <sz val="9"/>
      <color rgb="FFFF6B6B"/>
      <name val="Courier New"/>
      <family val="3"/>
    </font>
    <font>
      <b/>
      <sz val="9"/>
      <color rgb="FFF8FAFC"/>
      <name val="Courier New"/>
      <family val="3"/>
    </font>
    <font>
      <b/>
      <sz val="10"/>
      <color rgb="FFF0A040"/>
      <name val="Courier New"/>
      <family val="3"/>
    </font>
    <font>
      <b/>
      <sz val="13"/>
      <color rgb="FFD4780A"/>
      <name val="Calibri"/>
      <family val="2"/>
    </font>
    <font>
      <sz val="10"/>
      <color rgb="FFFF6B6B"/>
      <name val="Courier New"/>
      <family val="3"/>
    </font>
    <font>
      <b/>
      <sz val="14"/>
      <color rgb="FFD4780A"/>
      <name val="Calibri"/>
      <family val="2"/>
    </font>
    <font>
      <b/>
      <sz val="9"/>
      <color rgb="FFF8FAFC"/>
      <name val="Calibri"/>
      <family val="2"/>
    </font>
    <font>
      <b/>
      <sz val="11"/>
      <color rgb="FF00A896"/>
      <name val="Calibri"/>
      <family val="2"/>
    </font>
    <font>
      <b/>
      <sz val="11"/>
      <color rgb="FF8FA3B1"/>
      <name val="Calibri"/>
      <family val="2"/>
    </font>
    <font>
      <b/>
      <sz val="11"/>
      <color rgb="FFFF6B6B"/>
      <name val="Calibri"/>
      <family val="2"/>
    </font>
    <font>
      <sz val="9"/>
      <color rgb="FFF0A040"/>
      <name val="Courier New"/>
      <family val="3"/>
    </font>
    <font>
      <b/>
      <sz val="10"/>
      <color rgb="FF0B1F33"/>
      <name val="Calibri"/>
      <family val="2"/>
    </font>
    <font>
      <b/>
      <sz val="10"/>
      <color rgb="FFF8FAFC"/>
      <name val="Courier New"/>
      <family val="3"/>
    </font>
    <font>
      <b/>
      <sz val="10"/>
      <color rgb="FF00A896"/>
      <name val="Courier New"/>
      <family val="3"/>
    </font>
    <font>
      <b/>
      <sz val="10"/>
      <color rgb="FFFF6B6B"/>
      <name val="Courier New"/>
      <family val="3"/>
    </font>
    <font>
      <sz val="8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0B1F33"/>
        <bgColor rgb="FF0E2A45"/>
      </patternFill>
    </fill>
    <fill>
      <patternFill patternType="solid">
        <fgColor rgb="FFD4780A"/>
        <bgColor rgb="FFF0A040"/>
      </patternFill>
    </fill>
    <fill>
      <patternFill patternType="solid">
        <fgColor rgb="FF0E2A45"/>
        <bgColor rgb="FF132D4A"/>
      </patternFill>
    </fill>
    <fill>
      <patternFill patternType="solid">
        <fgColor rgb="FF00A896"/>
        <bgColor rgb="FF008080"/>
      </patternFill>
    </fill>
    <fill>
      <patternFill patternType="solid">
        <fgColor rgb="FFF0A040"/>
        <bgColor rgb="FFD4780A"/>
      </patternFill>
    </fill>
    <fill>
      <patternFill patternType="solid">
        <fgColor rgb="FF8FA3B1"/>
        <bgColor rgb="FFB3B3B3"/>
      </patternFill>
    </fill>
    <fill>
      <patternFill patternType="solid">
        <fgColor rgb="FF132D4A"/>
        <bgColor rgb="FF0E2A45"/>
      </patternFill>
    </fill>
    <fill>
      <patternFill patternType="solid">
        <fgColor rgb="FFFF6B6B"/>
        <bgColor rgb="FFD4780A"/>
      </patternFill>
    </fill>
    <fill>
      <patternFill patternType="solid">
        <fgColor theme="0"/>
        <bgColor rgb="FF0E2A4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C8D6DF"/>
      </left>
      <right style="thin">
        <color rgb="FFC8D6DF"/>
      </right>
      <top style="thin">
        <color rgb="FFC8D6DF"/>
      </top>
      <bottom style="thin">
        <color rgb="FFC8D6DF"/>
      </bottom>
      <diagonal/>
    </border>
    <border>
      <left style="thin">
        <color rgb="FFC8D6DF"/>
      </left>
      <right style="thin">
        <color rgb="FFC8D6DF"/>
      </right>
      <top style="medium">
        <color rgb="FFD4780A"/>
      </top>
      <bottom/>
      <diagonal/>
    </border>
    <border>
      <left style="thin">
        <color rgb="FFC8D6DF"/>
      </left>
      <right style="thin">
        <color rgb="FFC8D6DF"/>
      </right>
      <top/>
      <bottom/>
      <diagonal/>
    </border>
    <border>
      <left style="thin">
        <color rgb="FFC8D6DF"/>
      </left>
      <right style="thin">
        <color rgb="FFC8D6DF"/>
      </right>
      <top/>
      <bottom style="thin">
        <color rgb="FFC8D6DF"/>
      </bottom>
      <diagonal/>
    </border>
    <border>
      <left style="thin">
        <color rgb="FF0B1F33"/>
      </left>
      <right style="thin">
        <color rgb="FF0B1F33"/>
      </right>
      <top style="thin">
        <color rgb="FF0B1F33"/>
      </top>
      <bottom style="thin">
        <color rgb="FF0B1F33"/>
      </bottom>
      <diagonal/>
    </border>
    <border>
      <left/>
      <right/>
      <top style="medium">
        <color rgb="FFD4780A"/>
      </top>
      <bottom style="medium">
        <color rgb="FFD4780A"/>
      </bottom>
      <diagonal/>
    </border>
    <border>
      <left style="thin">
        <color rgb="FFC8D6DF"/>
      </left>
      <right/>
      <top style="thin">
        <color rgb="FFC8D6DF"/>
      </top>
      <bottom style="thin">
        <color rgb="FFC8D6DF"/>
      </bottom>
      <diagonal/>
    </border>
    <border>
      <left style="thin">
        <color rgb="FF0B1F33"/>
      </left>
      <right style="thin">
        <color rgb="FF0B1F33"/>
      </right>
      <top/>
      <bottom style="thin">
        <color rgb="FF0B1F33"/>
      </bottom>
      <diagonal/>
    </border>
    <border>
      <left style="thin">
        <color rgb="FFC8D6DF"/>
      </left>
      <right style="thin">
        <color rgb="FFC8D6DF"/>
      </right>
      <top style="thin">
        <color rgb="FFC8D6DF"/>
      </top>
      <bottom/>
      <diagonal/>
    </border>
  </borders>
  <cellStyleXfs count="3">
    <xf numFmtId="0" fontId="0" fillId="0" borderId="0"/>
    <xf numFmtId="43" fontId="1" fillId="0" borderId="0" applyBorder="0" applyAlignment="0" applyProtection="0"/>
    <xf numFmtId="9" fontId="1" fillId="0" borderId="0" applyBorder="0" applyAlignment="0" applyProtection="0"/>
  </cellStyleXfs>
  <cellXfs count="142">
    <xf numFmtId="0" fontId="0" fillId="0" borderId="0" xfId="0"/>
    <xf numFmtId="0" fontId="12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0" fillId="2" borderId="0" xfId="0" applyFill="1"/>
    <xf numFmtId="0" fontId="0" fillId="3" borderId="0" xfId="0" applyFill="1"/>
    <xf numFmtId="0" fontId="6" fillId="2" borderId="0" xfId="0" applyFont="1" applyFill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4" fillId="4" borderId="2" xfId="0" applyFont="1" applyFill="1" applyBorder="1" applyAlignment="1">
      <alignment horizontal="left" vertical="center"/>
    </xf>
    <xf numFmtId="164" fontId="15" fillId="4" borderId="3" xfId="0" applyNumberFormat="1" applyFont="1" applyFill="1" applyBorder="1" applyAlignment="1">
      <alignment horizontal="left" vertical="center"/>
    </xf>
    <xf numFmtId="164" fontId="16" fillId="4" borderId="3" xfId="0" applyNumberFormat="1" applyFont="1" applyFill="1" applyBorder="1" applyAlignment="1">
      <alignment horizontal="left" vertical="center"/>
    </xf>
    <xf numFmtId="165" fontId="17" fillId="4" borderId="3" xfId="0" applyNumberFormat="1" applyFont="1" applyFill="1" applyBorder="1" applyAlignment="1">
      <alignment horizontal="left" vertical="center"/>
    </xf>
    <xf numFmtId="164" fontId="18" fillId="4" borderId="3" xfId="0" applyNumberFormat="1" applyFont="1" applyFill="1" applyBorder="1" applyAlignment="1">
      <alignment horizontal="left" vertical="center"/>
    </xf>
    <xf numFmtId="0" fontId="19" fillId="4" borderId="4" xfId="0" applyFont="1" applyFill="1" applyBorder="1" applyAlignment="1">
      <alignment horizontal="left" vertical="center" wrapText="1"/>
    </xf>
    <xf numFmtId="0" fontId="20" fillId="5" borderId="5" xfId="0" applyFont="1" applyFill="1" applyBorder="1" applyAlignment="1">
      <alignment horizontal="center" vertical="center"/>
    </xf>
    <xf numFmtId="164" fontId="21" fillId="4" borderId="1" xfId="0" applyNumberFormat="1" applyFont="1" applyFill="1" applyBorder="1" applyAlignment="1">
      <alignment horizontal="right" vertical="center"/>
    </xf>
    <xf numFmtId="0" fontId="20" fillId="3" borderId="5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22" fillId="4" borderId="1" xfId="0" applyFont="1" applyFill="1" applyBorder="1" applyAlignment="1">
      <alignment horizontal="left" vertical="center"/>
    </xf>
    <xf numFmtId="0" fontId="11" fillId="4" borderId="1" xfId="0" applyFont="1" applyFill="1" applyBorder="1" applyAlignment="1">
      <alignment horizontal="left" vertical="center" wrapText="1"/>
    </xf>
    <xf numFmtId="164" fontId="23" fillId="4" borderId="1" xfId="0" applyNumberFormat="1" applyFont="1" applyFill="1" applyBorder="1" applyAlignment="1">
      <alignment horizontal="right" vertical="center"/>
    </xf>
    <xf numFmtId="0" fontId="24" fillId="4" borderId="1" xfId="0" applyFont="1" applyFill="1" applyBorder="1" applyAlignment="1">
      <alignment horizontal="left" vertical="center"/>
    </xf>
    <xf numFmtId="0" fontId="25" fillId="4" borderId="1" xfId="0" applyFont="1" applyFill="1" applyBorder="1" applyAlignment="1">
      <alignment horizontal="left" vertical="center"/>
    </xf>
    <xf numFmtId="0" fontId="27" fillId="4" borderId="1" xfId="0" applyFont="1" applyFill="1" applyBorder="1" applyAlignment="1">
      <alignment horizontal="left" vertical="center"/>
    </xf>
    <xf numFmtId="0" fontId="28" fillId="4" borderId="1" xfId="0" applyFont="1" applyFill="1" applyBorder="1" applyAlignment="1">
      <alignment horizontal="left" vertical="center" wrapText="1"/>
    </xf>
    <xf numFmtId="0" fontId="29" fillId="4" borderId="1" xfId="0" applyFont="1" applyFill="1" applyBorder="1" applyAlignment="1">
      <alignment horizontal="left" vertical="center" wrapText="1"/>
    </xf>
    <xf numFmtId="0" fontId="30" fillId="2" borderId="1" xfId="0" applyFont="1" applyFill="1" applyBorder="1" applyAlignment="1">
      <alignment horizontal="left"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20" fillId="5" borderId="5" xfId="0" applyFont="1" applyFill="1" applyBorder="1" applyAlignment="1">
      <alignment horizontal="center" vertical="center" wrapText="1"/>
    </xf>
    <xf numFmtId="0" fontId="28" fillId="4" borderId="1" xfId="0" applyFont="1" applyFill="1" applyBorder="1" applyAlignment="1">
      <alignment horizontal="left" vertical="center"/>
    </xf>
    <xf numFmtId="164" fontId="33" fillId="4" borderId="1" xfId="0" applyNumberFormat="1" applyFont="1" applyFill="1" applyBorder="1" applyAlignment="1">
      <alignment horizontal="right" vertical="center"/>
    </xf>
    <xf numFmtId="165" fontId="34" fillId="4" borderId="1" xfId="0" applyNumberFormat="1" applyFont="1" applyFill="1" applyBorder="1" applyAlignment="1">
      <alignment horizontal="right" vertical="center"/>
    </xf>
    <xf numFmtId="164" fontId="34" fillId="4" borderId="1" xfId="0" applyNumberFormat="1" applyFont="1" applyFill="1" applyBorder="1" applyAlignment="1">
      <alignment horizontal="right" vertical="center"/>
    </xf>
    <xf numFmtId="0" fontId="28" fillId="8" borderId="1" xfId="0" applyFont="1" applyFill="1" applyBorder="1" applyAlignment="1">
      <alignment horizontal="left" vertical="center"/>
    </xf>
    <xf numFmtId="164" fontId="33" fillId="8" borderId="1" xfId="0" applyNumberFormat="1" applyFont="1" applyFill="1" applyBorder="1" applyAlignment="1">
      <alignment horizontal="right" vertical="center"/>
    </xf>
    <xf numFmtId="165" fontId="34" fillId="8" borderId="1" xfId="0" applyNumberFormat="1" applyFont="1" applyFill="1" applyBorder="1" applyAlignment="1">
      <alignment horizontal="right" vertical="center"/>
    </xf>
    <xf numFmtId="164" fontId="34" fillId="8" borderId="1" xfId="0" applyNumberFormat="1" applyFont="1" applyFill="1" applyBorder="1" applyAlignment="1">
      <alignment horizontal="right" vertical="center"/>
    </xf>
    <xf numFmtId="165" fontId="35" fillId="8" borderId="1" xfId="0" applyNumberFormat="1" applyFont="1" applyFill="1" applyBorder="1" applyAlignment="1">
      <alignment horizontal="right" vertical="center"/>
    </xf>
    <xf numFmtId="164" fontId="35" fillId="4" borderId="1" xfId="0" applyNumberFormat="1" applyFont="1" applyFill="1" applyBorder="1" applyAlignment="1">
      <alignment horizontal="right" vertical="center"/>
    </xf>
    <xf numFmtId="165" fontId="35" fillId="4" borderId="1" xfId="0" applyNumberFormat="1" applyFont="1" applyFill="1" applyBorder="1" applyAlignment="1">
      <alignment horizontal="right" vertical="center"/>
    </xf>
    <xf numFmtId="164" fontId="35" fillId="8" borderId="1" xfId="0" applyNumberFormat="1" applyFont="1" applyFill="1" applyBorder="1" applyAlignment="1">
      <alignment horizontal="right" vertical="center"/>
    </xf>
    <xf numFmtId="0" fontId="5" fillId="4" borderId="0" xfId="0" applyFont="1" applyFill="1" applyAlignment="1">
      <alignment horizontal="left" vertical="center"/>
    </xf>
    <xf numFmtId="164" fontId="24" fillId="4" borderId="6" xfId="0" applyNumberFormat="1" applyFont="1" applyFill="1" applyBorder="1" applyAlignment="1">
      <alignment horizontal="right" vertical="center"/>
    </xf>
    <xf numFmtId="165" fontId="22" fillId="4" borderId="6" xfId="0" applyNumberFormat="1" applyFont="1" applyFill="1" applyBorder="1" applyAlignment="1">
      <alignment horizontal="right" vertical="center"/>
    </xf>
    <xf numFmtId="164" fontId="25" fillId="4" borderId="6" xfId="0" applyNumberFormat="1" applyFont="1" applyFill="1" applyBorder="1" applyAlignment="1">
      <alignment horizontal="right" vertical="center"/>
    </xf>
    <xf numFmtId="164" fontId="36" fillId="4" borderId="6" xfId="0" applyNumberFormat="1" applyFont="1" applyFill="1" applyBorder="1" applyAlignment="1">
      <alignment horizontal="right" vertical="center"/>
    </xf>
    <xf numFmtId="164" fontId="37" fillId="4" borderId="1" xfId="0" applyNumberFormat="1" applyFont="1" applyFill="1" applyBorder="1" applyAlignment="1">
      <alignment horizontal="right" vertical="center"/>
    </xf>
    <xf numFmtId="0" fontId="8" fillId="8" borderId="1" xfId="0" applyFont="1" applyFill="1" applyBorder="1" applyAlignment="1">
      <alignment horizontal="left" vertical="center"/>
    </xf>
    <xf numFmtId="164" fontId="21" fillId="8" borderId="1" xfId="0" applyNumberFormat="1" applyFont="1" applyFill="1" applyBorder="1" applyAlignment="1">
      <alignment horizontal="right" vertical="center"/>
    </xf>
    <xf numFmtId="164" fontId="37" fillId="8" borderId="1" xfId="0" applyNumberFormat="1" applyFont="1" applyFill="1" applyBorder="1" applyAlignment="1">
      <alignment horizontal="right" vertical="center"/>
    </xf>
    <xf numFmtId="0" fontId="20" fillId="5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center" vertical="center"/>
    </xf>
    <xf numFmtId="165" fontId="39" fillId="4" borderId="1" xfId="0" applyNumberFormat="1" applyFont="1" applyFill="1" applyBorder="1" applyAlignment="1">
      <alignment horizontal="right" vertical="center"/>
    </xf>
    <xf numFmtId="165" fontId="39" fillId="8" borderId="1" xfId="0" applyNumberFormat="1" applyFont="1" applyFill="1" applyBorder="1" applyAlignment="1">
      <alignment horizontal="right" vertical="center"/>
    </xf>
    <xf numFmtId="0" fontId="41" fillId="4" borderId="1" xfId="0" applyFont="1" applyFill="1" applyBorder="1" applyAlignment="1">
      <alignment horizontal="left" vertical="center"/>
    </xf>
    <xf numFmtId="0" fontId="42" fillId="4" borderId="1" xfId="0" applyFont="1" applyFill="1" applyBorder="1" applyAlignment="1">
      <alignment horizontal="center" vertical="center"/>
    </xf>
    <xf numFmtId="0" fontId="41" fillId="8" borderId="1" xfId="0" applyFont="1" applyFill="1" applyBorder="1" applyAlignment="1">
      <alignment horizontal="left" vertical="center"/>
    </xf>
    <xf numFmtId="0" fontId="43" fillId="8" borderId="1" xfId="0" applyFont="1" applyFill="1" applyBorder="1" applyAlignment="1">
      <alignment horizontal="center" vertical="center"/>
    </xf>
    <xf numFmtId="0" fontId="42" fillId="8" borderId="1" xfId="0" applyFont="1" applyFill="1" applyBorder="1" applyAlignment="1">
      <alignment horizontal="center" vertical="center"/>
    </xf>
    <xf numFmtId="0" fontId="43" fillId="4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/>
    </xf>
    <xf numFmtId="0" fontId="44" fillId="8" borderId="1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33" fillId="8" borderId="1" xfId="0" applyFont="1" applyFill="1" applyBorder="1" applyAlignment="1">
      <alignment horizontal="center" vertical="center"/>
    </xf>
    <xf numFmtId="0" fontId="36" fillId="8" borderId="1" xfId="0" applyFont="1" applyFill="1" applyBorder="1" applyAlignment="1">
      <alignment horizontal="center" vertical="center"/>
    </xf>
    <xf numFmtId="0" fontId="0" fillId="4" borderId="0" xfId="0" applyFill="1"/>
    <xf numFmtId="3" fontId="34" fillId="4" borderId="1" xfId="0" applyNumberFormat="1" applyFont="1" applyFill="1" applyBorder="1" applyAlignment="1">
      <alignment horizontal="right" vertical="center"/>
    </xf>
    <xf numFmtId="166" fontId="33" fillId="4" borderId="1" xfId="0" applyNumberFormat="1" applyFont="1" applyFill="1" applyBorder="1" applyAlignment="1">
      <alignment horizontal="right" vertical="center"/>
    </xf>
    <xf numFmtId="10" fontId="34" fillId="4" borderId="1" xfId="0" applyNumberFormat="1" applyFont="1" applyFill="1" applyBorder="1" applyAlignment="1">
      <alignment horizontal="right" vertical="center"/>
    </xf>
    <xf numFmtId="167" fontId="28" fillId="4" borderId="1" xfId="0" applyNumberFormat="1" applyFont="1" applyFill="1" applyBorder="1" applyAlignment="1">
      <alignment horizontal="left" vertical="center"/>
    </xf>
    <xf numFmtId="0" fontId="36" fillId="4" borderId="1" xfId="0" applyFont="1" applyFill="1" applyBorder="1" applyAlignment="1">
      <alignment horizontal="center" vertical="center"/>
    </xf>
    <xf numFmtId="0" fontId="0" fillId="8" borderId="0" xfId="0" applyFill="1"/>
    <xf numFmtId="3" fontId="34" fillId="8" borderId="1" xfId="0" applyNumberFormat="1" applyFont="1" applyFill="1" applyBorder="1" applyAlignment="1">
      <alignment horizontal="right" vertical="center"/>
    </xf>
    <xf numFmtId="166" fontId="33" fillId="8" borderId="1" xfId="0" applyNumberFormat="1" applyFont="1" applyFill="1" applyBorder="1" applyAlignment="1">
      <alignment horizontal="right" vertical="center"/>
    </xf>
    <xf numFmtId="10" fontId="34" fillId="8" borderId="1" xfId="0" applyNumberFormat="1" applyFont="1" applyFill="1" applyBorder="1" applyAlignment="1">
      <alignment horizontal="right" vertical="center"/>
    </xf>
    <xf numFmtId="167" fontId="28" fillId="8" borderId="1" xfId="0" applyNumberFormat="1" applyFont="1" applyFill="1" applyBorder="1" applyAlignment="1">
      <alignment horizontal="left" vertical="center"/>
    </xf>
    <xf numFmtId="10" fontId="35" fillId="4" borderId="1" xfId="0" applyNumberFormat="1" applyFont="1" applyFill="1" applyBorder="1" applyAlignment="1">
      <alignment horizontal="right" vertical="center"/>
    </xf>
    <xf numFmtId="10" fontId="35" fillId="8" borderId="1" xfId="0" applyNumberFormat="1" applyFont="1" applyFill="1" applyBorder="1" applyAlignment="1">
      <alignment horizontal="right" vertical="center"/>
    </xf>
    <xf numFmtId="3" fontId="47" fillId="4" borderId="1" xfId="0" applyNumberFormat="1" applyFont="1" applyFill="1" applyBorder="1" applyAlignment="1">
      <alignment horizontal="center" vertical="center"/>
    </xf>
    <xf numFmtId="3" fontId="48" fillId="4" borderId="1" xfId="0" applyNumberFormat="1" applyFont="1" applyFill="1" applyBorder="1" applyAlignment="1">
      <alignment horizontal="center" vertical="center"/>
    </xf>
    <xf numFmtId="3" fontId="49" fillId="4" borderId="1" xfId="0" applyNumberFormat="1" applyFont="1" applyFill="1" applyBorder="1" applyAlignment="1">
      <alignment horizontal="center" vertical="center"/>
    </xf>
    <xf numFmtId="0" fontId="0" fillId="10" borderId="0" xfId="0" applyFill="1"/>
    <xf numFmtId="0" fontId="0" fillId="11" borderId="0" xfId="0" applyFill="1"/>
    <xf numFmtId="0" fontId="10" fillId="4" borderId="1" xfId="0" applyFont="1" applyFill="1" applyBorder="1" applyAlignment="1">
      <alignment horizontal="left" vertical="top" wrapText="1"/>
    </xf>
    <xf numFmtId="0" fontId="28" fillId="4" borderId="1" xfId="0" applyFont="1" applyFill="1" applyBorder="1" applyAlignment="1">
      <alignment horizontal="left" vertical="top" wrapText="1"/>
    </xf>
    <xf numFmtId="0" fontId="33" fillId="4" borderId="1" xfId="0" applyFont="1" applyFill="1" applyBorder="1" applyAlignment="1">
      <alignment horizontal="left" vertical="top" wrapText="1"/>
    </xf>
    <xf numFmtId="0" fontId="11" fillId="4" borderId="1" xfId="0" applyFont="1" applyFill="1" applyBorder="1" applyAlignment="1">
      <alignment horizontal="left" vertical="top" wrapText="1"/>
    </xf>
    <xf numFmtId="0" fontId="10" fillId="8" borderId="1" xfId="0" applyFont="1" applyFill="1" applyBorder="1" applyAlignment="1">
      <alignment horizontal="left" vertical="top" wrapText="1"/>
    </xf>
    <xf numFmtId="0" fontId="28" fillId="8" borderId="1" xfId="0" applyFont="1" applyFill="1" applyBorder="1" applyAlignment="1">
      <alignment horizontal="left" vertical="top" wrapText="1"/>
    </xf>
    <xf numFmtId="0" fontId="33" fillId="8" borderId="1" xfId="0" applyFont="1" applyFill="1" applyBorder="1" applyAlignment="1">
      <alignment horizontal="left" vertical="top" wrapText="1"/>
    </xf>
    <xf numFmtId="0" fontId="11" fillId="8" borderId="1" xfId="0" applyFont="1" applyFill="1" applyBorder="1" applyAlignment="1">
      <alignment horizontal="left" vertical="top" wrapText="1"/>
    </xf>
    <xf numFmtId="0" fontId="0" fillId="2" borderId="0" xfId="0" applyFill="1" applyAlignment="1">
      <alignment vertical="top"/>
    </xf>
    <xf numFmtId="0" fontId="28" fillId="4" borderId="1" xfId="0" applyFont="1" applyFill="1" applyBorder="1" applyAlignment="1">
      <alignment horizontal="left" vertical="top"/>
    </xf>
    <xf numFmtId="0" fontId="33" fillId="4" borderId="1" xfId="0" applyFont="1" applyFill="1" applyBorder="1" applyAlignment="1">
      <alignment horizontal="center" vertical="top"/>
    </xf>
    <xf numFmtId="0" fontId="45" fillId="4" borderId="1" xfId="0" applyFont="1" applyFill="1" applyBorder="1" applyAlignment="1">
      <alignment horizontal="right" vertical="top"/>
    </xf>
    <xf numFmtId="0" fontId="41" fillId="4" borderId="1" xfId="0" applyFont="1" applyFill="1" applyBorder="1" applyAlignment="1">
      <alignment horizontal="center" vertical="top"/>
    </xf>
    <xf numFmtId="0" fontId="12" fillId="4" borderId="1" xfId="0" applyFont="1" applyFill="1" applyBorder="1" applyAlignment="1">
      <alignment horizontal="left" vertical="top" wrapText="1"/>
    </xf>
    <xf numFmtId="0" fontId="0" fillId="0" borderId="0" xfId="0" applyAlignment="1">
      <alignment vertical="top"/>
    </xf>
    <xf numFmtId="0" fontId="28" fillId="8" borderId="1" xfId="0" applyFont="1" applyFill="1" applyBorder="1" applyAlignment="1">
      <alignment horizontal="left" vertical="top"/>
    </xf>
    <xf numFmtId="0" fontId="33" fillId="8" borderId="1" xfId="0" applyFont="1" applyFill="1" applyBorder="1" applyAlignment="1">
      <alignment horizontal="center" vertical="top"/>
    </xf>
    <xf numFmtId="166" fontId="45" fillId="8" borderId="1" xfId="0" applyNumberFormat="1" applyFont="1" applyFill="1" applyBorder="1" applyAlignment="1">
      <alignment horizontal="right" vertical="top"/>
    </xf>
    <xf numFmtId="0" fontId="41" fillId="8" borderId="1" xfId="0" applyFont="1" applyFill="1" applyBorder="1" applyAlignment="1">
      <alignment horizontal="center" vertical="top"/>
    </xf>
    <xf numFmtId="0" fontId="12" fillId="8" borderId="1" xfId="0" applyFont="1" applyFill="1" applyBorder="1" applyAlignment="1">
      <alignment horizontal="left" vertical="top" wrapText="1"/>
    </xf>
    <xf numFmtId="10" fontId="45" fillId="4" borderId="1" xfId="0" applyNumberFormat="1" applyFont="1" applyFill="1" applyBorder="1" applyAlignment="1">
      <alignment horizontal="right" vertical="top"/>
    </xf>
    <xf numFmtId="0" fontId="45" fillId="8" borderId="1" xfId="0" applyFont="1" applyFill="1" applyBorder="1" applyAlignment="1">
      <alignment horizontal="right" vertical="top"/>
    </xf>
    <xf numFmtId="166" fontId="45" fillId="4" borderId="1" xfId="0" applyNumberFormat="1" applyFont="1" applyFill="1" applyBorder="1" applyAlignment="1">
      <alignment horizontal="right" vertical="top"/>
    </xf>
    <xf numFmtId="0" fontId="30" fillId="4" borderId="1" xfId="0" applyFont="1" applyFill="1" applyBorder="1" applyAlignment="1">
      <alignment horizontal="center" vertical="top"/>
    </xf>
    <xf numFmtId="0" fontId="28" fillId="4" borderId="1" xfId="0" applyFont="1" applyFill="1" applyBorder="1" applyAlignment="1">
      <alignment horizontal="center" vertical="top"/>
    </xf>
    <xf numFmtId="0" fontId="30" fillId="8" borderId="1" xfId="0" applyFont="1" applyFill="1" applyBorder="1" applyAlignment="1">
      <alignment horizontal="center" vertical="top"/>
    </xf>
    <xf numFmtId="0" fontId="36" fillId="8" borderId="1" xfId="0" applyFont="1" applyFill="1" applyBorder="1" applyAlignment="1">
      <alignment horizontal="center" vertical="top"/>
    </xf>
    <xf numFmtId="0" fontId="20" fillId="5" borderId="8" xfId="0" applyFont="1" applyFill="1" applyBorder="1" applyAlignment="1">
      <alignment horizontal="center" vertical="center" wrapText="1"/>
    </xf>
    <xf numFmtId="0" fontId="28" fillId="8" borderId="9" xfId="0" applyFont="1" applyFill="1" applyBorder="1" applyAlignment="1">
      <alignment horizontal="left" vertical="center"/>
    </xf>
    <xf numFmtId="3" fontId="34" fillId="8" borderId="9" xfId="0" applyNumberFormat="1" applyFont="1" applyFill="1" applyBorder="1" applyAlignment="1">
      <alignment horizontal="right" vertical="center"/>
    </xf>
    <xf numFmtId="166" fontId="33" fillId="8" borderId="9" xfId="0" applyNumberFormat="1" applyFont="1" applyFill="1" applyBorder="1" applyAlignment="1">
      <alignment horizontal="right" vertical="center"/>
    </xf>
    <xf numFmtId="10" fontId="35" fillId="8" borderId="9" xfId="0" applyNumberFormat="1" applyFont="1" applyFill="1" applyBorder="1" applyAlignment="1">
      <alignment horizontal="right" vertical="center"/>
    </xf>
    <xf numFmtId="167" fontId="28" fillId="8" borderId="9" xfId="0" applyNumberFormat="1" applyFont="1" applyFill="1" applyBorder="1" applyAlignment="1">
      <alignment horizontal="left" vertical="center"/>
    </xf>
    <xf numFmtId="43" fontId="1" fillId="0" borderId="0" xfId="1"/>
    <xf numFmtId="168" fontId="1" fillId="0" borderId="0" xfId="1" applyNumberFormat="1"/>
    <xf numFmtId="169" fontId="1" fillId="0" borderId="0" xfId="1" applyNumberFormat="1"/>
    <xf numFmtId="10" fontId="1" fillId="0" borderId="0" xfId="2" applyNumberFormat="1"/>
    <xf numFmtId="0" fontId="46" fillId="3" borderId="7" xfId="0" applyFont="1" applyFill="1" applyBorder="1" applyAlignment="1">
      <alignment horizontal="center" vertical="center"/>
    </xf>
    <xf numFmtId="0" fontId="41" fillId="4" borderId="7" xfId="0" applyFont="1" applyFill="1" applyBorder="1" applyAlignment="1">
      <alignment horizontal="left" vertical="center"/>
    </xf>
    <xf numFmtId="0" fontId="11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26" fillId="6" borderId="0" xfId="0" applyFont="1" applyFill="1" applyAlignment="1">
      <alignment horizontal="left" vertical="center"/>
    </xf>
    <xf numFmtId="0" fontId="26" fillId="7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26" fillId="5" borderId="0" xfId="0" applyFont="1" applyFill="1" applyAlignment="1">
      <alignment horizontal="left" vertical="center"/>
    </xf>
    <xf numFmtId="0" fontId="32" fillId="2" borderId="0" xfId="0" applyFont="1" applyFill="1" applyAlignment="1">
      <alignment horizontal="left" vertical="center"/>
    </xf>
    <xf numFmtId="0" fontId="38" fillId="2" borderId="0" xfId="0" applyFont="1" applyFill="1" applyAlignment="1">
      <alignment horizontal="left" vertical="center"/>
    </xf>
    <xf numFmtId="0" fontId="40" fillId="2" borderId="0" xfId="0" applyFont="1" applyFill="1" applyAlignment="1">
      <alignment horizontal="left" vertical="center"/>
    </xf>
  </cellXfs>
  <cellStyles count="3">
    <cellStyle name="Comma" xfId="1" builtinId="3"/>
    <cellStyle name="Normal" xfId="0" builtinId="0"/>
    <cellStyle name="Percent" xfId="2" builtinId="5"/>
  </cellStyles>
  <dxfs count="37">
    <dxf>
      <numFmt numFmtId="0" formatCode="General"/>
    </dxf>
    <dxf>
      <numFmt numFmtId="0" formatCode="General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69" formatCode="_-* #,##0_-;\-* #,##0_-;_-* &quot;-&quot;??_-;_-@_-"/>
    </dxf>
    <dxf>
      <numFmt numFmtId="14" formatCode="0.00%"/>
    </dxf>
    <dxf>
      <numFmt numFmtId="168" formatCode="_-* #,##0.0_-;\-* #,##0.0_-;_-* &quot;-&quot;??_-;_-@_-"/>
    </dxf>
    <dxf>
      <numFmt numFmtId="169" formatCode="_-* #,##0_-;\-* #,##0_-;_-* &quot;-&quot;??_-;_-@_-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8FAFC"/>
        <name val="Calibri"/>
        <family val="2"/>
        <scheme val="none"/>
      </font>
      <fill>
        <patternFill patternType="solid">
          <fgColor rgb="FF0E2A45"/>
          <bgColor rgb="FF132D4A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8D6DF"/>
        </left>
        <right style="thin">
          <color rgb="FFC8D6DF"/>
        </right>
        <top style="thin">
          <color rgb="FFC8D6DF"/>
        </top>
        <bottom style="thin">
          <color rgb="FFC8D6D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8FAFC"/>
        <name val="Calibri"/>
        <family val="2"/>
        <scheme val="none"/>
      </font>
      <fill>
        <patternFill patternType="solid">
          <fgColor rgb="FF0E2A45"/>
          <bgColor rgb="FF132D4A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8D6DF"/>
        </left>
        <right style="thin">
          <color rgb="FFC8D6DF"/>
        </right>
        <top style="thin">
          <color rgb="FFC8D6DF"/>
        </top>
        <bottom style="thin">
          <color rgb="FFC8D6D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8FAFC"/>
        <name val="Calibri"/>
        <family val="2"/>
        <scheme val="none"/>
      </font>
      <numFmt numFmtId="167" formatCode="yyyy\-mm\-dd\ h:mm:ss"/>
      <fill>
        <patternFill patternType="solid">
          <fgColor rgb="FF0E2A45"/>
          <bgColor rgb="FF132D4A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8D6DF"/>
        </left>
        <right style="thin">
          <color rgb="FFC8D6DF"/>
        </right>
        <top style="thin">
          <color rgb="FFC8D6DF"/>
        </top>
        <bottom style="thin">
          <color rgb="FFC8D6D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8FAFC"/>
        <name val="Calibri"/>
        <family val="2"/>
        <scheme val="none"/>
      </font>
      <fill>
        <patternFill patternType="solid">
          <fgColor rgb="FF0E2A45"/>
          <bgColor rgb="FF132D4A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8D6DF"/>
        </left>
        <right style="thin">
          <color rgb="FFC8D6DF"/>
        </right>
        <top style="thin">
          <color rgb="FFC8D6DF"/>
        </top>
        <bottom style="thin">
          <color rgb="FFC8D6D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A896"/>
        <name val="Courier New"/>
        <family val="3"/>
        <scheme val="none"/>
      </font>
      <numFmt numFmtId="166" formatCode="\$#,##0.00"/>
      <fill>
        <patternFill patternType="solid">
          <fgColor rgb="FF0E2A45"/>
          <bgColor rgb="FF132D4A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C8D6DF"/>
        </left>
        <right style="thin">
          <color rgb="FFC8D6DF"/>
        </right>
        <top style="thin">
          <color rgb="FFC8D6DF"/>
        </top>
        <bottom style="thin">
          <color rgb="FFC8D6D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A896"/>
        <name val="Courier New"/>
        <family val="3"/>
        <scheme val="none"/>
      </font>
      <numFmt numFmtId="166" formatCode="\$#,##0.00"/>
      <fill>
        <patternFill patternType="solid">
          <fgColor rgb="FF0E2A45"/>
          <bgColor rgb="FF132D4A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C8D6DF"/>
        </left>
        <right style="thin">
          <color rgb="FFC8D6DF"/>
        </right>
        <top style="thin">
          <color rgb="FFC8D6DF"/>
        </top>
        <bottom style="thin">
          <color rgb="FFC8D6D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A896"/>
        <name val="Courier New"/>
        <family val="3"/>
        <scheme val="none"/>
      </font>
      <numFmt numFmtId="166" formatCode="\$#,##0.00"/>
      <fill>
        <patternFill patternType="solid">
          <fgColor rgb="FF0E2A45"/>
          <bgColor rgb="FF132D4A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C8D6DF"/>
        </left>
        <right style="thin">
          <color rgb="FFC8D6DF"/>
        </right>
        <top style="thin">
          <color rgb="FFC8D6DF"/>
        </top>
        <bottom style="thin">
          <color rgb="FFC8D6D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A896"/>
        <name val="Courier New"/>
        <family val="3"/>
        <scheme val="none"/>
      </font>
      <numFmt numFmtId="166" formatCode="\$#,##0.00"/>
      <fill>
        <patternFill patternType="solid">
          <fgColor rgb="FF0E2A45"/>
          <bgColor rgb="FF132D4A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C8D6DF"/>
        </left>
        <right style="thin">
          <color rgb="FFC8D6DF"/>
        </right>
        <top style="thin">
          <color rgb="FFC8D6DF"/>
        </top>
        <bottom style="thin">
          <color rgb="FFC8D6D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A896"/>
        <name val="Courier New"/>
        <family val="3"/>
        <scheme val="none"/>
      </font>
      <numFmt numFmtId="166" formatCode="\$#,##0.00"/>
      <fill>
        <patternFill patternType="solid">
          <fgColor rgb="FF0E2A45"/>
          <bgColor rgb="FF132D4A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C8D6DF"/>
        </left>
        <right style="thin">
          <color rgb="FFC8D6DF"/>
        </right>
        <top style="thin">
          <color rgb="FFC8D6DF"/>
        </top>
        <bottom style="thin">
          <color rgb="FFC8D6D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A896"/>
        <name val="Courier New"/>
        <family val="3"/>
        <scheme val="none"/>
      </font>
      <numFmt numFmtId="166" formatCode="\$#,##0.00"/>
      <fill>
        <patternFill patternType="solid">
          <fgColor rgb="FF0E2A45"/>
          <bgColor rgb="FF132D4A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C8D6DF"/>
        </left>
        <right style="thin">
          <color rgb="FFC8D6DF"/>
        </right>
        <top style="thin">
          <color rgb="FFC8D6DF"/>
        </top>
        <bottom style="thin">
          <color rgb="FFC8D6D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A896"/>
        <name val="Courier New"/>
        <family val="3"/>
        <scheme val="none"/>
      </font>
      <numFmt numFmtId="166" formatCode="\$#,##0.00"/>
      <fill>
        <patternFill patternType="solid">
          <fgColor rgb="FF0E2A45"/>
          <bgColor rgb="FF132D4A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C8D6DF"/>
        </left>
        <right style="thin">
          <color rgb="FFC8D6DF"/>
        </right>
        <top style="thin">
          <color rgb="FFC8D6DF"/>
        </top>
        <bottom style="thin">
          <color rgb="FFC8D6D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8FAFC"/>
        <name val="Courier New"/>
        <family val="3"/>
        <scheme val="none"/>
      </font>
      <numFmt numFmtId="3" formatCode="#,##0"/>
      <fill>
        <patternFill patternType="solid">
          <fgColor rgb="FF0E2A45"/>
          <bgColor rgb="FF132D4A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C8D6DF"/>
        </left>
        <right style="thin">
          <color rgb="FFC8D6DF"/>
        </right>
        <top style="thin">
          <color rgb="FFC8D6DF"/>
        </top>
        <bottom style="thin">
          <color rgb="FFC8D6D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8FAFC"/>
        <name val="Calibri"/>
        <family val="2"/>
        <scheme val="none"/>
      </font>
      <fill>
        <patternFill patternType="solid">
          <fgColor rgb="FF0E2A45"/>
          <bgColor rgb="FF132D4A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8D6DF"/>
        </left>
        <right style="thin">
          <color rgb="FFC8D6DF"/>
        </right>
        <top style="thin">
          <color rgb="FFC8D6DF"/>
        </top>
        <bottom style="thin">
          <color rgb="FFC8D6D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8FAFC"/>
        <name val="Calibri"/>
        <family val="2"/>
        <scheme val="none"/>
      </font>
      <fill>
        <patternFill patternType="solid">
          <fgColor rgb="FF0E2A45"/>
          <bgColor rgb="FF132D4A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8D6DF"/>
        </left>
        <right style="thin">
          <color rgb="FFC8D6DF"/>
        </right>
        <top style="thin">
          <color rgb="FFC8D6DF"/>
        </top>
        <bottom style="thin">
          <color rgb="FFC8D6D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8FAFC"/>
        <name val="Calibri"/>
        <family val="2"/>
        <scheme val="none"/>
      </font>
      <fill>
        <patternFill patternType="solid">
          <fgColor rgb="FF0E2A45"/>
          <bgColor rgb="FF132D4A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8D6DF"/>
        </left>
        <right style="thin">
          <color rgb="FFC8D6DF"/>
        </right>
        <top style="thin">
          <color rgb="FFC8D6DF"/>
        </top>
        <bottom style="thin">
          <color rgb="FFC8D6D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8FAFC"/>
        <name val="Calibri"/>
        <family val="2"/>
        <scheme val="none"/>
      </font>
      <fill>
        <patternFill patternType="solid">
          <fgColor rgb="FF0E2A45"/>
          <bgColor rgb="FF132D4A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8D6DF"/>
        </left>
        <right style="thin">
          <color rgb="FFC8D6DF"/>
        </right>
        <top style="thin">
          <color rgb="FFC8D6DF"/>
        </top>
        <bottom style="thin">
          <color rgb="FFC8D6D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8FAFC"/>
        <name val="Calibri"/>
        <family val="2"/>
        <scheme val="none"/>
      </font>
      <fill>
        <patternFill patternType="solid">
          <fgColor rgb="FF0E2A45"/>
          <bgColor rgb="FF132D4A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8D6DF"/>
        </left>
        <right style="thin">
          <color rgb="FFC8D6DF"/>
        </right>
        <top style="thin">
          <color rgb="FFC8D6DF"/>
        </top>
        <bottom style="thin">
          <color rgb="FFC8D6DF"/>
        </bottom>
        <vertical/>
        <horizontal/>
      </border>
    </dxf>
    <dxf>
      <border outline="0">
        <top style="thin">
          <color rgb="FFC8D6DF"/>
        </top>
      </border>
    </dxf>
    <dxf>
      <border outline="0">
        <top style="thin">
          <color rgb="FF0B1F33"/>
        </top>
        <bottom style="thin">
          <color rgb="FFC8D6D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8FAFC"/>
        <name val="Calibri"/>
        <family val="2"/>
        <scheme val="none"/>
      </font>
      <fill>
        <patternFill patternType="solid">
          <fgColor rgb="FF0E2A45"/>
          <bgColor rgb="FF132D4A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rgb="FF0B1F3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B1F33"/>
        <name val="Calibri"/>
        <family val="2"/>
        <scheme val="none"/>
      </font>
      <fill>
        <patternFill patternType="solid">
          <fgColor rgb="FF008080"/>
          <bgColor rgb="FF00A89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B1F33"/>
        </left>
        <right style="thin">
          <color rgb="FF0B1F33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8FAFC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A896"/>
      <rgbColor rgb="FFB3B3B3"/>
      <rgbColor rgb="FF808080"/>
      <rgbColor rgb="FF9999FF"/>
      <rgbColor rgb="FF993366"/>
      <rgbColor rgb="FFFFFFCC"/>
      <rgbColor rgb="FFCCFFFF"/>
      <rgbColor rgb="FF660066"/>
      <rgbColor rgb="FFFF6B6B"/>
      <rgbColor rgb="FF0066CC"/>
      <rgbColor rgb="FFC8D6D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0A040"/>
      <rgbColor rgb="FFD4780A"/>
      <rgbColor rgb="FF4F81BD"/>
      <rgbColor rgb="FF8FA3B1"/>
      <rgbColor rgb="FF132D4A"/>
      <rgbColor rgb="FF339966"/>
      <rgbColor rgb="FF0B1F33"/>
      <rgbColor rgb="FF333300"/>
      <rgbColor rgb="FF993300"/>
      <rgbColor rgb="FF993366"/>
      <rgbColor rgb="FF333399"/>
      <rgbColor rgb="FF0E2A4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MY" sz="1800" b="1" strike="noStrike" spc="-1">
                <a:solidFill>
                  <a:srgbClr val="000000"/>
                </a:solidFill>
                <a:latin typeface="Calibri"/>
              </a:rPr>
              <a:t>Monthly Net Revenue  ·  Jan 2024 – Dec 2025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'📊 Chart Data'!$B$3</c:f>
              <c:strCache>
                <c:ptCount val="1"/>
                <c:pt idx="0">
                  <c:v>Net Revenue</c:v>
                </c:pt>
              </c:strCache>
            </c:strRef>
          </c:tx>
          <c:spPr>
            <a:ln w="24840">
              <a:solidFill>
                <a:srgbClr val="00A89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Chart Data'!$A$4:$A$27</c:f>
              <c:strCache>
                <c:ptCount val="24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</c:strCache>
            </c:strRef>
          </c:cat>
          <c:val>
            <c:numRef>
              <c:f>'📊 Chart Data'!$B$4:$B$27</c:f>
              <c:numCache>
                <c:formatCode>\$#,##0</c:formatCode>
                <c:ptCount val="24"/>
                <c:pt idx="0">
                  <c:v>653003.46</c:v>
                </c:pt>
                <c:pt idx="1">
                  <c:v>583177.6</c:v>
                </c:pt>
                <c:pt idx="2">
                  <c:v>1059807.9700000002</c:v>
                </c:pt>
                <c:pt idx="3">
                  <c:v>973180.27</c:v>
                </c:pt>
                <c:pt idx="4">
                  <c:v>965325.7</c:v>
                </c:pt>
                <c:pt idx="5">
                  <c:v>692527.11</c:v>
                </c:pt>
                <c:pt idx="6">
                  <c:v>1218456.71</c:v>
                </c:pt>
                <c:pt idx="7">
                  <c:v>637601.64</c:v>
                </c:pt>
                <c:pt idx="8">
                  <c:v>1568177.05</c:v>
                </c:pt>
                <c:pt idx="9">
                  <c:v>776190.30999999994</c:v>
                </c:pt>
                <c:pt idx="10">
                  <c:v>882368.33000000007</c:v>
                </c:pt>
                <c:pt idx="11">
                  <c:v>1104736.3599999999</c:v>
                </c:pt>
                <c:pt idx="12">
                  <c:v>1051419.3600000001</c:v>
                </c:pt>
                <c:pt idx="13">
                  <c:v>723705.39</c:v>
                </c:pt>
                <c:pt idx="14">
                  <c:v>963510.89999999991</c:v>
                </c:pt>
                <c:pt idx="15">
                  <c:v>1175868.1600000001</c:v>
                </c:pt>
                <c:pt idx="16">
                  <c:v>901474.63</c:v>
                </c:pt>
                <c:pt idx="17">
                  <c:v>1086983.9600000002</c:v>
                </c:pt>
                <c:pt idx="18">
                  <c:v>1047121.4299999999</c:v>
                </c:pt>
                <c:pt idx="19">
                  <c:v>1007024.59</c:v>
                </c:pt>
                <c:pt idx="20">
                  <c:v>836844.97000000009</c:v>
                </c:pt>
                <c:pt idx="21">
                  <c:v>741254.3600000001</c:v>
                </c:pt>
                <c:pt idx="22">
                  <c:v>812776.58</c:v>
                </c:pt>
                <c:pt idx="23">
                  <c:v>1136099.4300000002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CE6-4731-AF1B-CD4F2CC22F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7896632"/>
        <c:axId val="45232165"/>
      </c:lineChart>
      <c:catAx>
        <c:axId val="7789663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MY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5232165"/>
        <c:crosses val="autoZero"/>
        <c:auto val="1"/>
        <c:lblAlgn val="ctr"/>
        <c:lblOffset val="100"/>
        <c:noMultiLvlLbl val="0"/>
      </c:catAx>
      <c:valAx>
        <c:axId val="4523216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MY" sz="1000" b="1" strike="noStrike" spc="-1">
                    <a:solidFill>
                      <a:srgbClr val="000000"/>
                    </a:solidFill>
                    <a:latin typeface="Calibri"/>
                  </a:rPr>
                  <a:t>Net Revenue (USD)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789663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MY" sz="1800" b="1" strike="noStrike" spc="-1">
                <a:solidFill>
                  <a:srgbClr val="000000"/>
                </a:solidFill>
                <a:latin typeface="Calibri"/>
              </a:rPr>
              <a:t>Net Revenue by Business Unit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'📊 Chart Data'!$B$29</c:f>
              <c:strCache>
                <c:ptCount val="1"/>
                <c:pt idx="0">
                  <c:v>Net Revenue</c:v>
                </c:pt>
              </c:strCache>
            </c:strRef>
          </c:tx>
          <c:spPr>
            <a:solidFill>
              <a:srgbClr val="D4780A"/>
            </a:solidFill>
            <a:ln w="0">
              <a:solidFill>
                <a:srgbClr val="000000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00A896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D6B4-4363-AC06-F9A6382B6AFC}"/>
              </c:ext>
            </c:extLst>
          </c:dPt>
          <c:dPt>
            <c:idx val="1"/>
            <c:invertIfNegative val="0"/>
            <c:bubble3D val="0"/>
            <c:spPr>
              <a:solidFill>
                <a:srgbClr val="D4780A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D6B4-4363-AC06-F9A6382B6AFC}"/>
              </c:ext>
            </c:extLst>
          </c:dPt>
          <c:dPt>
            <c:idx val="2"/>
            <c:invertIfNegative val="0"/>
            <c:bubble3D val="0"/>
            <c:spPr>
              <a:solidFill>
                <a:srgbClr val="FF6B6B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D6B4-4363-AC06-F9A6382B6AFC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6B4-4363-AC06-F9A6382B6AFC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6B4-4363-AC06-F9A6382B6AFC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6B4-4363-AC06-F9A6382B6AF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Chart Data'!$A$30:$A$32</c:f>
              <c:strCache>
                <c:ptCount val="3"/>
                <c:pt idx="0">
                  <c:v>North America</c:v>
                </c:pt>
                <c:pt idx="1">
                  <c:v>APAC</c:v>
                </c:pt>
                <c:pt idx="2">
                  <c:v>Europe</c:v>
                </c:pt>
              </c:strCache>
            </c:strRef>
          </c:cat>
          <c:val>
            <c:numRef>
              <c:f>'📊 Chart Data'!$B$30:$B$32</c:f>
              <c:numCache>
                <c:formatCode>\$#,##0</c:formatCode>
                <c:ptCount val="3"/>
                <c:pt idx="0">
                  <c:v>7896687.9000000004</c:v>
                </c:pt>
                <c:pt idx="1">
                  <c:v>7651525.1399999987</c:v>
                </c:pt>
                <c:pt idx="2">
                  <c:v>7050423.2300000004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6B4-4363-AC06-F9A6382B6A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937911"/>
        <c:axId val="99313412"/>
      </c:barChart>
      <c:catAx>
        <c:axId val="6093791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9313412"/>
        <c:crosses val="autoZero"/>
        <c:auto val="1"/>
        <c:lblAlgn val="ctr"/>
        <c:lblOffset val="100"/>
        <c:noMultiLvlLbl val="0"/>
      </c:catAx>
      <c:valAx>
        <c:axId val="9931341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MY" sz="1000" b="1" strike="noStrike" spc="-1">
                    <a:solidFill>
                      <a:srgbClr val="000000"/>
                    </a:solidFill>
                    <a:latin typeface="Calibri"/>
                  </a:rPr>
                  <a:t>Net Revenue (USD)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093791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MY" sz="1800" b="1" strike="noStrike" spc="-1">
                <a:solidFill>
                  <a:srgbClr val="000000"/>
                </a:solidFill>
                <a:latin typeface="Calibri"/>
              </a:rPr>
              <a:t>ARR vs MRR×12  ·  Recurring Revenue Quality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'📊 Chart Data'!$D$3</c:f>
              <c:strCache>
                <c:ptCount val="1"/>
                <c:pt idx="0">
                  <c:v>ARR</c:v>
                </c:pt>
              </c:strCache>
            </c:strRef>
          </c:tx>
          <c:spPr>
            <a:ln w="24840">
              <a:solidFill>
                <a:srgbClr val="00A89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Chart Data'!$A$4:$A$27</c:f>
              <c:strCache>
                <c:ptCount val="24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</c:strCache>
            </c:strRef>
          </c:cat>
          <c:val>
            <c:numRef>
              <c:f>'📊 Chart Data'!$D$4:$D$27</c:f>
              <c:numCache>
                <c:formatCode>\$#,##0</c:formatCode>
                <c:ptCount val="24"/>
                <c:pt idx="0">
                  <c:v>7836041.6399999997</c:v>
                </c:pt>
                <c:pt idx="1">
                  <c:v>6998131.2499999991</c:v>
                </c:pt>
                <c:pt idx="2">
                  <c:v>12717695.550000001</c:v>
                </c:pt>
                <c:pt idx="3">
                  <c:v>11678163.34</c:v>
                </c:pt>
                <c:pt idx="4">
                  <c:v>11583908.309999999</c:v>
                </c:pt>
                <c:pt idx="5">
                  <c:v>8310325.3799999999</c:v>
                </c:pt>
                <c:pt idx="6">
                  <c:v>14621480.529999999</c:v>
                </c:pt>
                <c:pt idx="7">
                  <c:v>7651219.46</c:v>
                </c:pt>
                <c:pt idx="8">
                  <c:v>18818124.57</c:v>
                </c:pt>
                <c:pt idx="9">
                  <c:v>9314283.7699999996</c:v>
                </c:pt>
                <c:pt idx="10">
                  <c:v>10588419.85</c:v>
                </c:pt>
                <c:pt idx="11">
                  <c:v>13256836.15</c:v>
                </c:pt>
                <c:pt idx="12">
                  <c:v>12617032.35</c:v>
                </c:pt>
                <c:pt idx="13">
                  <c:v>8684464.75</c:v>
                </c:pt>
                <c:pt idx="14">
                  <c:v>11562130.73</c:v>
                </c:pt>
                <c:pt idx="15">
                  <c:v>14110418.040000001</c:v>
                </c:pt>
                <c:pt idx="16">
                  <c:v>10817695.609999999</c:v>
                </c:pt>
                <c:pt idx="17">
                  <c:v>13043807.469999999</c:v>
                </c:pt>
                <c:pt idx="18">
                  <c:v>12565457.09</c:v>
                </c:pt>
                <c:pt idx="19">
                  <c:v>12084295.209999999</c:v>
                </c:pt>
                <c:pt idx="20">
                  <c:v>10042139.629999999</c:v>
                </c:pt>
                <c:pt idx="21">
                  <c:v>8895052.459999999</c:v>
                </c:pt>
                <c:pt idx="22">
                  <c:v>9753319.120000001</c:v>
                </c:pt>
                <c:pt idx="23">
                  <c:v>13633192.98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91A-46D8-ACCE-B377A99DF497}"/>
            </c:ext>
          </c:extLst>
        </c:ser>
        <c:ser>
          <c:idx val="1"/>
          <c:order val="1"/>
          <c:tx>
            <c:strRef>
              <c:f>'📊 Chart Data'!$E$3</c:f>
              <c:strCache>
                <c:ptCount val="1"/>
                <c:pt idx="0">
                  <c:v>MRR</c:v>
                </c:pt>
              </c:strCache>
            </c:strRef>
          </c:tx>
          <c:spPr>
            <a:ln w="20160">
              <a:solidFill>
                <a:srgbClr val="F0A04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Chart Data'!$A$4:$A$27</c:f>
              <c:strCache>
                <c:ptCount val="24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</c:strCache>
            </c:strRef>
          </c:cat>
          <c:val>
            <c:numRef>
              <c:f>'📊 Chart Data'!$E$4:$E$27</c:f>
              <c:numCache>
                <c:formatCode>\$#,##0</c:formatCode>
                <c:ptCount val="24"/>
                <c:pt idx="0">
                  <c:v>653003.46</c:v>
                </c:pt>
                <c:pt idx="1">
                  <c:v>583177.6</c:v>
                </c:pt>
                <c:pt idx="2">
                  <c:v>1059807.9700000002</c:v>
                </c:pt>
                <c:pt idx="3">
                  <c:v>973180.27</c:v>
                </c:pt>
                <c:pt idx="4">
                  <c:v>965325.7</c:v>
                </c:pt>
                <c:pt idx="5">
                  <c:v>692527.11</c:v>
                </c:pt>
                <c:pt idx="6">
                  <c:v>1218456.71</c:v>
                </c:pt>
                <c:pt idx="7">
                  <c:v>637601.64</c:v>
                </c:pt>
                <c:pt idx="8">
                  <c:v>1568177.05</c:v>
                </c:pt>
                <c:pt idx="9">
                  <c:v>776190.30999999994</c:v>
                </c:pt>
                <c:pt idx="10">
                  <c:v>882368.33000000007</c:v>
                </c:pt>
                <c:pt idx="11">
                  <c:v>1104736.3599999999</c:v>
                </c:pt>
                <c:pt idx="12">
                  <c:v>1051419.3600000001</c:v>
                </c:pt>
                <c:pt idx="13">
                  <c:v>723705.39</c:v>
                </c:pt>
                <c:pt idx="14">
                  <c:v>963510.89999999991</c:v>
                </c:pt>
                <c:pt idx="15">
                  <c:v>1175868.1600000001</c:v>
                </c:pt>
                <c:pt idx="16">
                  <c:v>901474.63</c:v>
                </c:pt>
                <c:pt idx="17">
                  <c:v>1086983.9600000002</c:v>
                </c:pt>
                <c:pt idx="18">
                  <c:v>1047121.4299999999</c:v>
                </c:pt>
                <c:pt idx="19">
                  <c:v>1007024.59</c:v>
                </c:pt>
                <c:pt idx="20">
                  <c:v>836844.97000000009</c:v>
                </c:pt>
                <c:pt idx="21">
                  <c:v>741254.3600000001</c:v>
                </c:pt>
                <c:pt idx="22">
                  <c:v>812776.58</c:v>
                </c:pt>
                <c:pt idx="23">
                  <c:v>1136099.4300000002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91A-46D8-ACCE-B377A99DF4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6694439"/>
        <c:axId val="25415429"/>
      </c:lineChart>
      <c:catAx>
        <c:axId val="7669443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MY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415429"/>
        <c:crosses val="autoZero"/>
        <c:auto val="1"/>
        <c:lblAlgn val="ctr"/>
        <c:lblOffset val="100"/>
        <c:noMultiLvlLbl val="0"/>
      </c:catAx>
      <c:valAx>
        <c:axId val="2541542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MY" sz="1000" b="1" strike="noStrike" spc="-1">
                    <a:solidFill>
                      <a:srgbClr val="000000"/>
                    </a:solidFill>
                    <a:latin typeface="Calibri"/>
                  </a:rPr>
                  <a:t>Value (USD)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669443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MY" sz="1800" b="1" strike="noStrike" spc="-1">
                <a:solidFill>
                  <a:srgbClr val="000000"/>
                </a:solidFill>
                <a:latin typeface="Calibri"/>
              </a:rPr>
              <a:t>Avg Discount % by Customer Segment  ·  Risk Signal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'📊 Chart Data'!$B$35</c:f>
              <c:strCache>
                <c:ptCount val="1"/>
                <c:pt idx="0">
                  <c:v>Avg Discount %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00A896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1590-417D-A7C8-E37320263093}"/>
              </c:ext>
            </c:extLst>
          </c:dPt>
          <c:dPt>
            <c:idx val="1"/>
            <c:invertIfNegative val="0"/>
            <c:bubble3D val="0"/>
            <c:spPr>
              <a:solidFill>
                <a:srgbClr val="F0A040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1590-417D-A7C8-E37320263093}"/>
              </c:ext>
            </c:extLst>
          </c:dPt>
          <c:dPt>
            <c:idx val="2"/>
            <c:invertIfNegative val="0"/>
            <c:bubble3D val="0"/>
            <c:spPr>
              <a:solidFill>
                <a:srgbClr val="FF6B6B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1590-417D-A7C8-E37320263093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590-417D-A7C8-E37320263093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590-417D-A7C8-E37320263093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590-417D-A7C8-E3732026309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Chart Data'!$A$36:$A$38</c:f>
              <c:strCache>
                <c:ptCount val="3"/>
                <c:pt idx="0">
                  <c:v>Enterprise</c:v>
                </c:pt>
                <c:pt idx="1">
                  <c:v>Mid-Market</c:v>
                </c:pt>
                <c:pt idx="2">
                  <c:v>SMB</c:v>
                </c:pt>
              </c:strCache>
            </c:strRef>
          </c:cat>
          <c:val>
            <c:numRef>
              <c:f>'📊 Chart Data'!$B$36:$B$38</c:f>
              <c:numCache>
                <c:formatCode>0.0%</c:formatCode>
                <c:ptCount val="3"/>
                <c:pt idx="0">
                  <c:v>0.12048648648648649</c:v>
                </c:pt>
                <c:pt idx="1">
                  <c:v>0.10937837837837842</c:v>
                </c:pt>
                <c:pt idx="2">
                  <c:v>0.11982205882352943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590-417D-A7C8-E373202630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239660"/>
        <c:axId val="32292791"/>
      </c:barChart>
      <c:catAx>
        <c:axId val="472396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2292791"/>
        <c:crosses val="autoZero"/>
        <c:auto val="1"/>
        <c:lblAlgn val="ctr"/>
        <c:lblOffset val="100"/>
        <c:noMultiLvlLbl val="0"/>
      </c:catAx>
      <c:valAx>
        <c:axId val="3229279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MY" sz="1000" b="1" strike="noStrike" spc="-1">
                    <a:solidFill>
                      <a:srgbClr val="000000"/>
                    </a:solidFill>
                    <a:latin typeface="Calibri"/>
                  </a:rPr>
                  <a:t>Avg Discount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72396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15</xdr:col>
      <xdr:colOff>23760</xdr:colOff>
      <xdr:row>25</xdr:row>
      <xdr:rowOff>126720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161925</xdr:colOff>
      <xdr:row>3</xdr:row>
      <xdr:rowOff>9525</xdr:rowOff>
    </xdr:from>
    <xdr:to>
      <xdr:col>28</xdr:col>
      <xdr:colOff>273105</xdr:colOff>
      <xdr:row>25</xdr:row>
      <xdr:rowOff>136245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26</xdr:row>
      <xdr:rowOff>85725</xdr:rowOff>
    </xdr:from>
    <xdr:to>
      <xdr:col>15</xdr:col>
      <xdr:colOff>33285</xdr:colOff>
      <xdr:row>49</xdr:row>
      <xdr:rowOff>21945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152400</xdr:colOff>
      <xdr:row>26</xdr:row>
      <xdr:rowOff>85725</xdr:rowOff>
    </xdr:from>
    <xdr:to>
      <xdr:col>28</xdr:col>
      <xdr:colOff>263580</xdr:colOff>
      <xdr:row>49</xdr:row>
      <xdr:rowOff>21945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65EF72ED-7593-4E09-8397-4AA5B622EEB6}" autoFormatId="16" applyNumberFormats="0" applyBorderFormats="0" applyFontFormats="0" applyPatternFormats="0" applyAlignmentFormats="0" applyWidthHeightFormats="0">
  <queryTableRefresh nextId="30">
    <queryTableFields count="29">
      <queryTableField id="1" name="Month" tableColumnId="1"/>
      <queryTableField id="2" name="Business Unit" tableColumnId="2"/>
      <queryTableField id="3" name="Product" tableColumnId="3"/>
      <queryTableField id="4" name="Revenue Type" tableColumnId="4"/>
      <queryTableField id="5" name="Customer Segment" tableColumnId="5"/>
      <queryTableField id="6" name="Units Sold" tableColumnId="6"/>
      <queryTableField id="7" name="Price per Unit" tableColumnId="7"/>
      <queryTableField id="8" name="Gross Revenue" tableColumnId="8"/>
      <queryTableField id="9" name="Discount (%)" tableColumnId="9"/>
      <queryTableField id="10" name="_Computed_Gross" tableColumnId="10"/>
      <queryTableField id="11" name="_Gap_Gross" tableColumnId="11"/>
      <queryTableField id="12" name="Net Revenue" tableColumnId="12"/>
      <queryTableField id="13" name="_Computed_Net" tableColumnId="13"/>
      <queryTableField id="14" name="_Gap_Net" tableColumnId="14"/>
      <queryTableField id="15" name="Deferred Revenue Change" tableColumnId="15"/>
      <queryTableField id="16" name="Recognized Revenue" tableColumnId="16"/>
      <queryTableField id="17" name="_Computed_Recognized" tableColumnId="17"/>
      <queryTableField id="18" name="_Gap_Recognized" tableColumnId="18"/>
      <queryTableField id="19" name="ARR" tableColumnId="19"/>
      <queryTableField id="20" name="MRR" tableColumnId="20"/>
      <queryTableField id="21" name="_Computed_ARR" tableColumnId="21"/>
      <queryTableField id="22" name="_Gap_ARR" tableColumnId="22"/>
      <queryTableField id="23" name="Check_Gross_Revenue" tableColumnId="23"/>
      <queryTableField id="24" name="Check_Net_Revenue" tableColumnId="24"/>
      <queryTableField id="25" name="Check_Recognized_Bridge" tableColumnId="25"/>
      <queryTableField id="26" name="Check_ARR_MRR" tableColumnId="26"/>
      <queryTableField id="27" name="Check_Critical_Fields" tableColumnId="27"/>
      <queryTableField id="28" name="Row_Status" tableColumnId="28"/>
      <queryTableField id="29" name="Failure_Reason" tableColumnId="2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62E6DC2B-B1EF-4707-B1FC-73267D9FE31F}" autoFormatId="16" applyNumberFormats="0" applyBorderFormats="0" applyFontFormats="0" applyPatternFormats="0" applyAlignmentFormats="0" applyWidthHeightFormats="0">
  <queryTableRefresh nextId="7">
    <queryTableFields count="6">
      <queryTableField id="1" name="Check" tableColumnId="1"/>
      <queryTableField id="2" name="Total_Rows" tableColumnId="2"/>
      <queryTableField id="3" name="Pass" tableColumnId="3"/>
      <queryTableField id="4" name="Fail" tableColumnId="4"/>
      <queryTableField id="5" name="Pass_Rate" tableColumnId="5"/>
      <queryTableField id="6" name="Status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906F61E9-99DE-45F0-ACD1-4A49908CC894}" autoFormatId="16" applyNumberFormats="0" applyBorderFormats="0" applyFontFormats="0" applyPatternFormats="0" applyAlignmentFormats="0" applyWidthHeightFormats="0">
  <queryTableRefresh nextId="16">
    <queryTableFields count="11">
      <queryTableField id="1" name="Month" tableColumnId="1"/>
      <queryTableField id="2" name="Gross Revenue" tableColumnId="2"/>
      <queryTableField id="3" name="Net Revenue" tableColumnId="3"/>
      <queryTableField id="4" name="ARR" tableColumnId="4"/>
      <queryTableField id="5" name="MRR" tableColumnId="5"/>
      <queryTableField id="13" name="Avg Discount Pct" tableColumnId="13"/>
      <queryTableField id="7" name="Deferred Rev Change" tableColumnId="7"/>
      <queryTableField id="8" name="Recognized Revenue" tableColumnId="8"/>
      <queryTableField id="9" name="Units Sold" tableColumnId="9"/>
      <queryTableField id="11" name="MoM Net Rev Change" tableColumnId="11"/>
      <queryTableField id="14" name="MoM Net Rev Pct" tableColumnId="1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6C5C74F7-E064-40B6-86D1-FB10326DAF13}" autoFormatId="16" applyNumberFormats="0" applyBorderFormats="0" applyFontFormats="0" applyPatternFormats="0" applyAlignmentFormats="0" applyWidthHeightFormats="0">
  <queryTableRefresh nextId="8">
    <queryTableFields count="7">
      <queryTableField id="1" name="Business Unit" tableColumnId="1"/>
      <queryTableField id="2" name="Product" tableColumnId="2"/>
      <queryTableField id="3" name="Net Revenue" tableColumnId="3"/>
      <queryTableField id="4" name="Gross Revenue" tableColumnId="4"/>
      <queryTableField id="5" name="Units Sold" tableColumnId="5"/>
      <queryTableField id="6" name="Avg Discount %" tableColumnId="6"/>
      <queryTableField id="7" name="% of Total Net Revenue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F5D07EE6-208C-485B-B050-2C9C10C5D740}" autoFormatId="16" applyNumberFormats="0" applyBorderFormats="0" applyFontFormats="0" applyPatternFormats="0" applyAlignmentFormats="0" applyWidthHeightFormats="0">
  <queryTableRefresh nextId="16">
    <queryTableFields count="9">
      <queryTableField id="1" name="Customer Segment" tableColumnId="1"/>
      <queryTableField id="9" name="Avg Discount Pct" tableColumnId="9"/>
      <queryTableField id="3" name="Total Gross Rev" tableColumnId="3"/>
      <queryTableField id="4" name="Total Net Rev" tableColumnId="4"/>
      <queryTableField id="6" name="Row Count" tableColumnId="6"/>
      <queryTableField id="10" name="Total Discount Amount" tableColumnId="10"/>
      <queryTableField id="11" name="Discount as Pct of Gross" tableColumnId="11"/>
      <queryTableField id="8" name="Risk Flag" tableColumnId="8"/>
      <queryTableField id="12" name="Risk Note" tableColumnId="1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87CA32-941D-418E-ADE4-9F6718AE5EF2}" name="RawData" displayName="RawData" ref="B1:S217" totalsRowShown="0" headerRowDxfId="36" dataDxfId="34" headerRowBorderDxfId="35" tableBorderDxfId="33" totalsRowBorderDxfId="32">
  <autoFilter ref="B1:S217" xr:uid="{B287CA32-941D-418E-ADE4-9F6718AE5EF2}"/>
  <tableColumns count="18">
    <tableColumn id="1" xr3:uid="{8BBDDA6E-A690-44B3-921D-BD2277503939}" name="Month" dataDxfId="31"/>
    <tableColumn id="2" xr3:uid="{BB9AA38D-FB97-4285-B96B-8D9819DB2103}" name="Business Unit" dataDxfId="30"/>
    <tableColumn id="3" xr3:uid="{0461A901-A398-4601-B952-DE2565887714}" name="Product" dataDxfId="29"/>
    <tableColumn id="4" xr3:uid="{447BDE5B-E506-47F5-B951-11E65A21EEC2}" name="Revenue Type" dataDxfId="28"/>
    <tableColumn id="5" xr3:uid="{8238E37C-E59E-4DAA-86FE-1188E9A62A01}" name="Customer Segment" dataDxfId="27"/>
    <tableColumn id="6" xr3:uid="{012C6D71-16F9-4253-8908-7A75B0FB8391}" name="Units Sold" dataDxfId="26"/>
    <tableColumn id="7" xr3:uid="{EC12B3B5-DE91-4F54-BEA6-5183F9E56250}" name="Price per Unit" dataDxfId="25"/>
    <tableColumn id="8" xr3:uid="{649272DD-156D-44B1-A87F-A8EEF9975048}" name="Gross Revenue" dataDxfId="24"/>
    <tableColumn id="9" xr3:uid="{229C07E0-5B8E-4D11-926B-936565E6525A}" name="Discount (%)"/>
    <tableColumn id="10" xr3:uid="{1C40E3C9-D685-422E-8DC8-28970DCA8391}" name="Net Revenue" dataDxfId="23"/>
    <tableColumn id="11" xr3:uid="{0601BA5D-ADCF-42D6-A2B6-2C6BCB7AC80B}" name="Deferred Revenue Change" dataDxfId="22"/>
    <tableColumn id="12" xr3:uid="{9D75FA30-F5D7-432A-8B46-8129B0F7D0E1}" name="Recognized Revenue" dataDxfId="21"/>
    <tableColumn id="13" xr3:uid="{D78111C7-145E-4C24-90D5-5E62CE17C63D}" name="ARR" dataDxfId="20"/>
    <tableColumn id="14" xr3:uid="{DD638277-E6C7-4E32-900B-F487C0587F25}" name="MRR" dataDxfId="19"/>
    <tableColumn id="15" xr3:uid="{D7901001-FB57-4F1C-8CDC-0630BFB11444}" name="Currency" dataDxfId="18"/>
    <tableColumn id="16" xr3:uid="{F8131241-7FA7-46E7-81E9-FA7862F2DC6D}" name="Month_dt" dataDxfId="17"/>
    <tableColumn id="17" xr3:uid="{D04EA56A-DA9D-4FAA-B7EC-2F2ECB83EFCE}" name="Year" dataDxfId="16"/>
    <tableColumn id="18" xr3:uid="{91B53724-3E9E-411A-9D89-FE402D0381DB}" name="MonthNum" dataDxfId="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38180BF-1199-4299-A0F2-2A332B58098F}" name="QA_ValidationModule" displayName="QA_ValidationModule" ref="A1:AC217" tableType="queryTable" totalsRowShown="0">
  <autoFilter ref="A1:AC217" xr:uid="{B38180BF-1199-4299-A0F2-2A332B58098F}"/>
  <tableColumns count="29">
    <tableColumn id="1" xr3:uid="{824F17E1-46B0-4815-A7DB-135D97F2C3B9}" uniqueName="1" name="Month" queryTableFieldId="1"/>
    <tableColumn id="2" xr3:uid="{630C991E-60C3-4BE6-B12C-DB8EB1F4899F}" uniqueName="2" name="Business Unit" queryTableFieldId="2"/>
    <tableColumn id="3" xr3:uid="{08A3B38E-BFDD-4284-80BE-643B08F2825F}" uniqueName="3" name="Product" queryTableFieldId="3"/>
    <tableColumn id="4" xr3:uid="{89A2585C-B890-4376-87EC-93989D4A968F}" uniqueName="4" name="Revenue Type" queryTableFieldId="4"/>
    <tableColumn id="5" xr3:uid="{A0E55F4E-DEC4-4A25-A15B-00CBDA2FFDC3}" uniqueName="5" name="Customer Segment" queryTableFieldId="5"/>
    <tableColumn id="6" xr3:uid="{2AA5B296-6565-43E0-A350-93407B360270}" uniqueName="6" name="Units Sold" queryTableFieldId="6"/>
    <tableColumn id="7" xr3:uid="{82323653-37B2-48DE-BC72-9D19C267BF5C}" uniqueName="7" name="Price per Unit" queryTableFieldId="7"/>
    <tableColumn id="8" xr3:uid="{ECD2A010-1506-45D7-A017-2D2E1392A513}" uniqueName="8" name="Gross Revenue" queryTableFieldId="8"/>
    <tableColumn id="9" xr3:uid="{59896A60-4673-4925-ABEE-F53BF04BBA7F}" uniqueName="9" name="Discount (%)" queryTableFieldId="9"/>
    <tableColumn id="10" xr3:uid="{03EB3E3F-D2BA-425D-B851-636EFB54D194}" uniqueName="10" name="_Computed_Gross" queryTableFieldId="10"/>
    <tableColumn id="11" xr3:uid="{F37E25A7-6F7B-4545-B905-B8FD28559FF1}" uniqueName="11" name="_Gap_Gross" queryTableFieldId="11"/>
    <tableColumn id="12" xr3:uid="{DF701638-5B6F-431C-BF04-0136837660E7}" uniqueName="12" name="Net Revenue" queryTableFieldId="12"/>
    <tableColumn id="13" xr3:uid="{ECE92D4C-0C71-4AA0-8FEB-FDF973C6B47B}" uniqueName="13" name="_Computed_Net" queryTableFieldId="13"/>
    <tableColumn id="14" xr3:uid="{9A8E92F3-DE60-49DB-8708-65E50AB94E68}" uniqueName="14" name="_Gap_Net" queryTableFieldId="14"/>
    <tableColumn id="15" xr3:uid="{B2ACE37F-0E74-496F-8AB0-C0000AD0D622}" uniqueName="15" name="Deferred Revenue Change" queryTableFieldId="15"/>
    <tableColumn id="16" xr3:uid="{5B801F65-E006-4141-8D0C-6BE3AE6B8BFC}" uniqueName="16" name="Recognized Revenue" queryTableFieldId="16"/>
    <tableColumn id="17" xr3:uid="{E04DA7DC-D78B-41EA-B592-3E4411B3B26C}" uniqueName="17" name="_Computed_Recognized" queryTableFieldId="17"/>
    <tableColumn id="18" xr3:uid="{9CF22F1E-397B-4138-A8E7-4D5D8F66FE01}" uniqueName="18" name="_Gap_Recognized" queryTableFieldId="18"/>
    <tableColumn id="19" xr3:uid="{C50E3AAF-58F0-4675-B3A6-700F49BBE420}" uniqueName="19" name="ARR" queryTableFieldId="19"/>
    <tableColumn id="20" xr3:uid="{0742777A-7DF2-4869-A729-3A2E73008B11}" uniqueName="20" name="MRR" queryTableFieldId="20"/>
    <tableColumn id="21" xr3:uid="{2F9D9977-4A2B-4803-A7BC-0E144F793332}" uniqueName="21" name="_Computed_ARR" queryTableFieldId="21"/>
    <tableColumn id="22" xr3:uid="{DB66350E-8D8A-4DB5-9895-6322D13EB22E}" uniqueName="22" name="_Gap_ARR" queryTableFieldId="22"/>
    <tableColumn id="23" xr3:uid="{12F95AE3-8D04-4C82-8FA2-B1FE75FC65F2}" uniqueName="23" name="Check_Gross_Revenue" queryTableFieldId="23"/>
    <tableColumn id="24" xr3:uid="{C669E992-FC47-4BA4-935F-ECF56D97855F}" uniqueName="24" name="Check_Net_Revenue" queryTableFieldId="24"/>
    <tableColumn id="25" xr3:uid="{BE0F6ECE-3597-4019-B904-93532A7805ED}" uniqueName="25" name="Check_Recognized_Bridge" queryTableFieldId="25"/>
    <tableColumn id="26" xr3:uid="{2CD68C6F-8950-4C73-AD01-468C52D6696D}" uniqueName="26" name="Check_ARR_MRR" queryTableFieldId="26"/>
    <tableColumn id="27" xr3:uid="{0BBE8FDC-B991-494B-A97D-E268F81466F0}" uniqueName="27" name="Check_Critical_Fields" queryTableFieldId="27"/>
    <tableColumn id="28" xr3:uid="{89C011B2-DB40-4127-A37C-487152DF9329}" uniqueName="28" name="Row_Status" queryTableFieldId="28" dataDxfId="14"/>
    <tableColumn id="29" xr3:uid="{24EB3919-69BB-4A9A-8721-3E480AA7EE2C}" uniqueName="29" name="Failure_Reason" queryTableFieldId="29" dataDxfId="1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80290B-18E6-4D36-BC3D-7B478B97C79D}" name="QA_AuditSummary" displayName="QA_AuditSummary" ref="A1:F7" tableType="queryTable" totalsRowShown="0">
  <autoFilter ref="A1:F7" xr:uid="{7580290B-18E6-4D36-BC3D-7B478B97C79D}"/>
  <tableColumns count="6">
    <tableColumn id="1" xr3:uid="{F4E1F691-649F-472A-A78C-9DA3A865F639}" uniqueName="1" name="Check" queryTableFieldId="1" dataDxfId="12"/>
    <tableColumn id="2" xr3:uid="{7EF9A57F-D4E7-40C4-9414-AEC644300054}" uniqueName="2" name="Total_Rows" queryTableFieldId="2"/>
    <tableColumn id="3" xr3:uid="{7C5D5FA8-D20A-4C55-9E6D-B0E5F582ADF9}" uniqueName="3" name="Pass" queryTableFieldId="3"/>
    <tableColumn id="4" xr3:uid="{69CDFD91-2FBC-414C-B914-9F126AC07600}" uniqueName="4" name="Fail" queryTableFieldId="4"/>
    <tableColumn id="5" xr3:uid="{C0757D8A-7A1E-42AC-8F98-39B639F60ACE}" uniqueName="5" name="Pass_Rate" queryTableFieldId="5"/>
    <tableColumn id="6" xr3:uid="{808B955A-0111-411B-8474-150E3A41BF1C}" uniqueName="6" name="Status" queryTableFieldId="6" dataDxfId="1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5BA772B-9072-42A0-82E0-C11E4C215AF5}" name="Monthly_Summary" displayName="Monthly_Summary" ref="A1:K25" tableType="queryTable" totalsRowShown="0">
  <autoFilter ref="A1:K25" xr:uid="{F5BA772B-9072-42A0-82E0-C11E4C215AF5}"/>
  <tableColumns count="11">
    <tableColumn id="1" xr3:uid="{159FB5B1-C33D-4CB0-B745-1F1193397645}" uniqueName="1" name="Month" queryTableFieldId="1"/>
    <tableColumn id="2" xr3:uid="{80FCB126-2475-4B74-8EC1-6557C2694209}" uniqueName="2" name="Gross Revenue" queryTableFieldId="2" dataCellStyle="Comma"/>
    <tableColumn id="3" xr3:uid="{5D29CB16-1EC9-493C-B191-532C8623796F}" uniqueName="3" name="Net Revenue" queryTableFieldId="3" dataCellStyle="Comma"/>
    <tableColumn id="4" xr3:uid="{8D83DBF8-8CE3-45D8-9962-2797CE73D605}" uniqueName="4" name="ARR" queryTableFieldId="4" dataCellStyle="Comma"/>
    <tableColumn id="5" xr3:uid="{B92473D9-C981-4D1E-A8DA-AD63687AC148}" uniqueName="5" name="MRR" queryTableFieldId="5" dataCellStyle="Comma"/>
    <tableColumn id="13" xr3:uid="{F6A7A0A7-86B5-47D6-9024-060BC8E9F22C}" uniqueName="13" name="Avg Discount Pct" queryTableFieldId="13" dataDxfId="10" dataCellStyle="Percent"/>
    <tableColumn id="7" xr3:uid="{AE8402CF-71A9-42A5-875B-3C68A251F188}" uniqueName="7" name="Deferred Rev Change" queryTableFieldId="7" dataCellStyle="Comma"/>
    <tableColumn id="8" xr3:uid="{B49C347F-E678-4965-8CE8-EA330CAEB436}" uniqueName="8" name="Recognized Revenue" queryTableFieldId="8" dataCellStyle="Comma"/>
    <tableColumn id="9" xr3:uid="{DC9E7A09-2620-42A4-84EB-ADE68074E7E0}" uniqueName="9" name="Units Sold" queryTableFieldId="9" dataDxfId="9" dataCellStyle="Comma"/>
    <tableColumn id="11" xr3:uid="{5D62F434-977F-4AFA-BEB9-6D5B7B60942A}" uniqueName="11" name="MoM Net Rev Change" queryTableFieldId="11" dataDxfId="8" dataCellStyle="Comma"/>
    <tableColumn id="14" xr3:uid="{4E2123D2-FF88-4A45-BE2C-DDE2747CC48B}" uniqueName="14" name="MoM Net Rev Pct" queryTableFieldId="14" dataDxfId="7" dataCellStyle="Percent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D0C0603-651E-4B37-87C0-2428342C1340}" name="BU_Product_Summary" displayName="BU_Product_Summary" ref="A1:G10" tableType="queryTable" totalsRowShown="0">
  <autoFilter ref="A1:G10" xr:uid="{7D0C0603-651E-4B37-87C0-2428342C1340}"/>
  <tableColumns count="7">
    <tableColumn id="1" xr3:uid="{3016403B-3E8A-4DFE-8872-BF26B501AB69}" uniqueName="1" name="Business Unit" queryTableFieldId="1"/>
    <tableColumn id="2" xr3:uid="{E1231B08-42DE-46DB-9DF5-0510E930DE6A}" uniqueName="2" name="Product" queryTableFieldId="2"/>
    <tableColumn id="3" xr3:uid="{0E526ADC-4F5E-482F-9B70-0A038EE72ED3}" uniqueName="3" name="Net Revenue" queryTableFieldId="3" dataCellStyle="Comma"/>
    <tableColumn id="4" xr3:uid="{27A46DF2-07F1-436C-9E8B-893119CE22F4}" uniqueName="4" name="Gross Revenue" queryTableFieldId="4" dataCellStyle="Comma"/>
    <tableColumn id="5" xr3:uid="{0A458C55-339D-4A78-9002-65D62F0F931F}" uniqueName="5" name="Units Sold" queryTableFieldId="5" dataDxfId="6" dataCellStyle="Comma"/>
    <tableColumn id="6" xr3:uid="{9C64EB26-9081-4F3F-9CAC-2486B621A559}" uniqueName="6" name="Avg Discount %" queryTableFieldId="6" dataDxfId="5" dataCellStyle="Percent"/>
    <tableColumn id="7" xr3:uid="{F37B986A-FD89-434C-9735-A9992C9308B3}" uniqueName="7" name="% of Total Net Revenue" queryTableFieldId="7" dataDxfId="4" dataCellStyle="Percent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C53553E-85F1-4112-8B37-FE91E118F2B2}" name="Segment_Discount_Summary" displayName="Segment_Discount_Summary" ref="A1:I4" tableType="queryTable" totalsRowShown="0">
  <autoFilter ref="A1:I4" xr:uid="{1C53553E-85F1-4112-8B37-FE91E118F2B2}"/>
  <tableColumns count="9">
    <tableColumn id="1" xr3:uid="{F1EC466A-84BF-4A59-BAD3-C4D3AF44CB83}" uniqueName="1" name="Customer Segment" queryTableFieldId="1"/>
    <tableColumn id="9" xr3:uid="{84CC15E3-EA7F-4E04-8F45-7B4FF663939E}" uniqueName="9" name="Avg Discount Pct" queryTableFieldId="9" dataDxfId="3" dataCellStyle="Percent"/>
    <tableColumn id="3" xr3:uid="{BFF5C991-4AB8-4525-A664-38D53A6A9A7F}" uniqueName="3" name="Total Gross Rev" queryTableFieldId="3" dataCellStyle="Comma"/>
    <tableColumn id="4" xr3:uid="{268628DF-4DED-45BF-9177-366B59E434B4}" uniqueName="4" name="Total Net Rev" queryTableFieldId="4" dataCellStyle="Comma"/>
    <tableColumn id="6" xr3:uid="{7986E5D6-524D-45A9-923B-CAA5CC694D6B}" uniqueName="6" name="Row Count" queryTableFieldId="6"/>
    <tableColumn id="10" xr3:uid="{BB349420-4D00-434F-9B7A-49D351F2CAB1}" uniqueName="10" name="Total Discount Amount" queryTableFieldId="10" dataCellStyle="Comma"/>
    <tableColumn id="11" xr3:uid="{09AB7FBB-9DD5-457C-997B-284D6FB7F330}" uniqueName="11" name="Discount as Pct of Gross" queryTableFieldId="11" dataDxfId="2" dataCellStyle="Percent"/>
    <tableColumn id="8" xr3:uid="{CAE4AC65-91DD-4F71-BE52-E0C1ED3DB658}" uniqueName="8" name="Risk Flag" queryTableFieldId="8" dataDxfId="1"/>
    <tableColumn id="12" xr3:uid="{2B4696FD-692C-4199-A1F4-1C605BBDCD23}" uniqueName="12" name="Risk Note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"/>
  <sheetViews>
    <sheetView showGridLines="0" zoomScaleNormal="100" workbookViewId="0">
      <selection activeCell="B14" sqref="B14"/>
    </sheetView>
  </sheetViews>
  <sheetFormatPr defaultColWidth="8.7109375" defaultRowHeight="15" x14ac:dyDescent="0.25"/>
  <cols>
    <col min="1" max="1" width="4" customWidth="1"/>
    <col min="2" max="2" width="32" customWidth="1"/>
    <col min="3" max="3" width="48" customWidth="1"/>
    <col min="4" max="4" width="22" customWidth="1"/>
    <col min="5" max="5" width="4" customWidth="1"/>
  </cols>
  <sheetData>
    <row r="1" spans="1:5" ht="15.75" customHeight="1" x14ac:dyDescent="0.25">
      <c r="A1" s="3"/>
      <c r="B1" s="3"/>
      <c r="C1" s="3"/>
      <c r="D1" s="3"/>
      <c r="E1" s="3"/>
    </row>
    <row r="2" spans="1:5" ht="7.5" customHeight="1" x14ac:dyDescent="0.25">
      <c r="A2" s="3"/>
      <c r="B2" s="3"/>
      <c r="C2" s="3"/>
      <c r="D2" s="3"/>
      <c r="E2" s="3"/>
    </row>
    <row r="3" spans="1:5" ht="49.5" customHeight="1" x14ac:dyDescent="0.25">
      <c r="A3" s="3"/>
      <c r="B3" s="129" t="s">
        <v>0</v>
      </c>
      <c r="C3" s="129"/>
      <c r="D3" s="129"/>
      <c r="E3" s="3"/>
    </row>
    <row r="4" spans="1:5" ht="27.75" customHeight="1" x14ac:dyDescent="0.25">
      <c r="A4" s="3"/>
      <c r="B4" s="130" t="s">
        <v>1</v>
      </c>
      <c r="C4" s="130"/>
      <c r="D4" s="130"/>
      <c r="E4" s="3"/>
    </row>
    <row r="5" spans="1:5" ht="19.5" customHeight="1" x14ac:dyDescent="0.25">
      <c r="A5" s="3"/>
      <c r="B5" s="131" t="s">
        <v>2</v>
      </c>
      <c r="C5" s="131"/>
      <c r="D5" s="131"/>
      <c r="E5" s="3"/>
    </row>
    <row r="6" spans="1:5" ht="15.75" customHeight="1" x14ac:dyDescent="0.25">
      <c r="A6" s="3"/>
      <c r="B6" s="3"/>
      <c r="C6" s="3"/>
      <c r="D6" s="3"/>
      <c r="E6" s="3"/>
    </row>
    <row r="7" spans="1:5" ht="3.75" customHeight="1" x14ac:dyDescent="0.25">
      <c r="A7" s="3"/>
      <c r="B7" s="4"/>
      <c r="C7" s="4"/>
      <c r="D7" s="4"/>
      <c r="E7" s="3"/>
    </row>
    <row r="8" spans="1:5" ht="24" customHeight="1" x14ac:dyDescent="0.25">
      <c r="A8" s="3"/>
      <c r="B8" s="3"/>
      <c r="C8" s="3"/>
      <c r="D8" s="3"/>
      <c r="E8" s="3"/>
    </row>
    <row r="9" spans="1:5" ht="18" customHeight="1" x14ac:dyDescent="0.25">
      <c r="A9" s="3"/>
      <c r="B9" s="2" t="s">
        <v>3</v>
      </c>
      <c r="C9" s="5" t="s">
        <v>4</v>
      </c>
      <c r="D9" s="5" t="s">
        <v>5</v>
      </c>
      <c r="E9" s="3"/>
    </row>
    <row r="10" spans="1:5" ht="15" customHeight="1" x14ac:dyDescent="0.25">
      <c r="A10" s="3"/>
      <c r="B10" s="3"/>
      <c r="C10" s="3"/>
      <c r="D10" s="3"/>
      <c r="E10" s="3"/>
    </row>
    <row r="11" spans="1:5" ht="19.5" customHeight="1" x14ac:dyDescent="0.25">
      <c r="A11" s="3"/>
      <c r="B11" s="6" t="s">
        <v>6</v>
      </c>
      <c r="C11" s="7" t="s">
        <v>7</v>
      </c>
      <c r="D11" s="8" t="s">
        <v>8</v>
      </c>
      <c r="E11" s="3"/>
    </row>
    <row r="12" spans="1:5" ht="19.5" customHeight="1" x14ac:dyDescent="0.25">
      <c r="A12" s="3"/>
      <c r="B12" s="6" t="s">
        <v>9</v>
      </c>
      <c r="C12" s="7" t="s">
        <v>10</v>
      </c>
      <c r="D12" s="8" t="s">
        <v>11</v>
      </c>
      <c r="E12" s="3"/>
    </row>
    <row r="13" spans="1:5" ht="19.5" customHeight="1" x14ac:dyDescent="0.25">
      <c r="A13" s="3"/>
      <c r="B13" s="6" t="s">
        <v>12</v>
      </c>
      <c r="C13" s="7" t="s">
        <v>13</v>
      </c>
      <c r="D13" s="8" t="s">
        <v>14</v>
      </c>
      <c r="E13" s="3"/>
    </row>
    <row r="14" spans="1:5" ht="19.5" customHeight="1" x14ac:dyDescent="0.25">
      <c r="A14" s="3"/>
      <c r="B14" s="6" t="s">
        <v>15</v>
      </c>
      <c r="C14" s="7" t="s">
        <v>16</v>
      </c>
      <c r="D14" s="8" t="s">
        <v>17</v>
      </c>
      <c r="E14" s="3"/>
    </row>
    <row r="15" spans="1:5" ht="19.5" customHeight="1" x14ac:dyDescent="0.25">
      <c r="A15" s="3"/>
      <c r="B15" s="6" t="s">
        <v>18</v>
      </c>
      <c r="C15" s="7" t="s">
        <v>19</v>
      </c>
      <c r="D15" s="8" t="s">
        <v>20</v>
      </c>
      <c r="E15" s="3"/>
    </row>
    <row r="16" spans="1:5" ht="19.5" customHeight="1" x14ac:dyDescent="0.25">
      <c r="A16" s="3"/>
      <c r="B16" s="6" t="s">
        <v>21</v>
      </c>
      <c r="C16" s="7" t="s">
        <v>22</v>
      </c>
      <c r="D16" s="8" t="s">
        <v>23</v>
      </c>
      <c r="E16" s="3"/>
    </row>
    <row r="17" spans="1:5" ht="19.5" customHeight="1" x14ac:dyDescent="0.25">
      <c r="A17" s="3"/>
      <c r="B17" s="6" t="s">
        <v>24</v>
      </c>
      <c r="C17" s="9" t="s">
        <v>25</v>
      </c>
      <c r="D17" s="8" t="s">
        <v>26</v>
      </c>
      <c r="E17" s="3"/>
    </row>
    <row r="18" spans="1:5" ht="19.5" customHeight="1" x14ac:dyDescent="0.25">
      <c r="A18" s="3"/>
      <c r="B18" s="6" t="s">
        <v>27</v>
      </c>
      <c r="C18" s="9" t="s">
        <v>28</v>
      </c>
      <c r="D18" s="8" t="s">
        <v>29</v>
      </c>
      <c r="E18" s="3"/>
    </row>
    <row r="19" spans="1:5" ht="15" customHeight="1" x14ac:dyDescent="0.25">
      <c r="A19" s="3"/>
      <c r="B19" s="3"/>
      <c r="C19" s="3"/>
      <c r="D19" s="3"/>
      <c r="E19" s="3"/>
    </row>
    <row r="20" spans="1:5" ht="15.75" customHeight="1" x14ac:dyDescent="0.25">
      <c r="A20" s="3"/>
      <c r="B20" s="132" t="s">
        <v>30</v>
      </c>
      <c r="C20" s="132"/>
      <c r="D20" s="132"/>
      <c r="E20" s="3"/>
    </row>
    <row r="21" spans="1:5" ht="15.75" customHeight="1" x14ac:dyDescent="0.25">
      <c r="A21" s="3"/>
      <c r="B21" s="10" t="s">
        <v>31</v>
      </c>
      <c r="C21" s="127" t="s">
        <v>32</v>
      </c>
      <c r="D21" s="127"/>
      <c r="E21" s="3"/>
    </row>
    <row r="22" spans="1:5" ht="39.75" customHeight="1" x14ac:dyDescent="0.25">
      <c r="A22" s="3"/>
      <c r="B22" s="10" t="s">
        <v>33</v>
      </c>
      <c r="C22" s="127" t="s">
        <v>34</v>
      </c>
      <c r="D22" s="127"/>
      <c r="E22" s="3"/>
    </row>
    <row r="23" spans="1:5" ht="39.75" customHeight="1" x14ac:dyDescent="0.25">
      <c r="A23" s="3"/>
      <c r="B23" s="10" t="s">
        <v>35</v>
      </c>
      <c r="C23" s="128" t="s">
        <v>36</v>
      </c>
      <c r="D23" s="128"/>
      <c r="E23" s="3"/>
    </row>
    <row r="24" spans="1:5" ht="24.75" customHeight="1" x14ac:dyDescent="0.25">
      <c r="A24" s="3"/>
      <c r="B24" s="10" t="s">
        <v>37</v>
      </c>
      <c r="C24" s="127" t="s">
        <v>38</v>
      </c>
      <c r="D24" s="127"/>
      <c r="E24" s="3"/>
    </row>
    <row r="25" spans="1:5" ht="15" customHeight="1" x14ac:dyDescent="0.25">
      <c r="A25" s="3"/>
      <c r="B25" s="3"/>
      <c r="C25" s="3"/>
      <c r="D25" s="3"/>
      <c r="E25" s="3"/>
    </row>
    <row r="26" spans="1:5" ht="15" customHeight="1" x14ac:dyDescent="0.25">
      <c r="A26" s="3"/>
      <c r="B26" s="3"/>
      <c r="C26" s="3"/>
      <c r="D26" s="3"/>
      <c r="E26" s="3"/>
    </row>
    <row r="27" spans="1:5" ht="15" customHeight="1" x14ac:dyDescent="0.25">
      <c r="A27" s="3"/>
      <c r="B27" s="3"/>
      <c r="C27" s="3"/>
      <c r="D27" s="3"/>
      <c r="E27" s="3"/>
    </row>
    <row r="28" spans="1:5" ht="15" customHeight="1" x14ac:dyDescent="0.25">
      <c r="A28" s="3"/>
      <c r="B28" s="3"/>
      <c r="C28" s="3"/>
      <c r="D28" s="3"/>
      <c r="E28" s="3"/>
    </row>
    <row r="29" spans="1:5" ht="15" customHeight="1" x14ac:dyDescent="0.25">
      <c r="A29" s="3"/>
      <c r="B29" s="3"/>
      <c r="C29" s="3"/>
      <c r="D29" s="3"/>
      <c r="E29" s="3"/>
    </row>
    <row r="30" spans="1:5" ht="15" customHeight="1" x14ac:dyDescent="0.25">
      <c r="A30" s="3"/>
      <c r="B30" s="3"/>
      <c r="C30" s="3"/>
      <c r="D30" s="3"/>
      <c r="E30" s="3"/>
    </row>
    <row r="31" spans="1:5" ht="15" customHeight="1" x14ac:dyDescent="0.25">
      <c r="A31" s="3"/>
      <c r="B31" s="3"/>
      <c r="C31" s="3"/>
      <c r="D31" s="3"/>
      <c r="E31" s="3"/>
    </row>
    <row r="32" spans="1:5" ht="15" customHeight="1" x14ac:dyDescent="0.25">
      <c r="A32" s="3"/>
      <c r="B32" s="3"/>
      <c r="C32" s="3"/>
      <c r="D32" s="3"/>
      <c r="E32" s="3"/>
    </row>
    <row r="33" spans="1:5" ht="15" customHeight="1" x14ac:dyDescent="0.25">
      <c r="A33" s="3"/>
      <c r="B33" s="3"/>
      <c r="C33" s="3"/>
      <c r="D33" s="3"/>
      <c r="E33" s="3"/>
    </row>
    <row r="34" spans="1:5" ht="15" customHeight="1" x14ac:dyDescent="0.25">
      <c r="A34" s="3"/>
      <c r="B34" s="3"/>
      <c r="C34" s="3"/>
      <c r="D34" s="3"/>
      <c r="E34" s="3"/>
    </row>
    <row r="35" spans="1:5" ht="15" customHeight="1" x14ac:dyDescent="0.25">
      <c r="A35" s="3"/>
      <c r="B35" s="3"/>
      <c r="C35" s="3"/>
      <c r="D35" s="3"/>
      <c r="E35" s="3"/>
    </row>
    <row r="36" spans="1:5" ht="15" customHeight="1" x14ac:dyDescent="0.25">
      <c r="A36" s="3"/>
      <c r="B36" s="3"/>
      <c r="C36" s="3"/>
      <c r="D36" s="3"/>
      <c r="E36" s="3"/>
    </row>
    <row r="37" spans="1:5" ht="15" customHeight="1" x14ac:dyDescent="0.25">
      <c r="A37" s="3"/>
      <c r="B37" s="3"/>
      <c r="C37" s="3"/>
      <c r="D37" s="3"/>
      <c r="E37" s="3"/>
    </row>
    <row r="38" spans="1:5" ht="15" customHeight="1" x14ac:dyDescent="0.25">
      <c r="A38" s="3"/>
      <c r="B38" s="3"/>
      <c r="C38" s="3"/>
      <c r="D38" s="3"/>
      <c r="E38" s="3"/>
    </row>
    <row r="39" spans="1:5" ht="15" customHeight="1" x14ac:dyDescent="0.25">
      <c r="A39" s="3"/>
      <c r="B39" s="3"/>
      <c r="C39" s="3"/>
      <c r="D39" s="3"/>
      <c r="E39" s="3"/>
    </row>
    <row r="40" spans="1:5" ht="15" customHeight="1" x14ac:dyDescent="0.25">
      <c r="A40" s="3"/>
      <c r="B40" s="3"/>
      <c r="C40" s="3"/>
      <c r="D40" s="3"/>
      <c r="E40" s="3"/>
    </row>
    <row r="41" spans="1:5" ht="15" customHeight="1" x14ac:dyDescent="0.25">
      <c r="A41" s="3"/>
      <c r="B41" s="3"/>
      <c r="C41" s="3"/>
      <c r="D41" s="3"/>
      <c r="E41" s="3"/>
    </row>
    <row r="42" spans="1:5" ht="15" customHeight="1" x14ac:dyDescent="0.25">
      <c r="A42" s="3"/>
      <c r="B42" s="3"/>
      <c r="C42" s="3"/>
      <c r="D42" s="3"/>
      <c r="E42" s="3"/>
    </row>
    <row r="43" spans="1:5" ht="15" customHeight="1" x14ac:dyDescent="0.25">
      <c r="A43" s="3"/>
      <c r="B43" s="3"/>
      <c r="C43" s="3"/>
      <c r="D43" s="3"/>
      <c r="E43" s="3"/>
    </row>
    <row r="44" spans="1:5" ht="15" customHeight="1" x14ac:dyDescent="0.25">
      <c r="A44" s="3"/>
      <c r="B44" s="3"/>
      <c r="C44" s="3"/>
      <c r="D44" s="3"/>
      <c r="E44" s="3"/>
    </row>
  </sheetData>
  <mergeCells count="8">
    <mergeCell ref="C22:D22"/>
    <mergeCell ref="C23:D23"/>
    <mergeCell ref="C24:D24"/>
    <mergeCell ref="B3:D3"/>
    <mergeCell ref="B4:D4"/>
    <mergeCell ref="B5:D5"/>
    <mergeCell ref="B20:D20"/>
    <mergeCell ref="C21:D2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9"/>
  <sheetViews>
    <sheetView showGridLines="0" zoomScaleNormal="100" workbookViewId="0">
      <selection activeCell="G29" sqref="G29"/>
    </sheetView>
  </sheetViews>
  <sheetFormatPr defaultColWidth="8.7109375" defaultRowHeight="15" x14ac:dyDescent="0.25"/>
  <cols>
    <col min="1" max="1" width="3" customWidth="1"/>
    <col min="2" max="2" width="22" customWidth="1"/>
    <col min="3" max="3" width="27.28515625" bestFit="1" customWidth="1"/>
    <col min="4" max="4" width="24.28515625" bestFit="1" customWidth="1"/>
    <col min="5" max="6" width="18" customWidth="1"/>
    <col min="7" max="7" width="43.5703125" bestFit="1" customWidth="1"/>
    <col min="8" max="8" width="18" customWidth="1"/>
    <col min="9" max="9" width="3" customWidth="1"/>
  </cols>
  <sheetData>
    <row r="1" spans="1:9" ht="15" customHeight="1" x14ac:dyDescent="0.25">
      <c r="A1" s="3"/>
      <c r="B1" s="3"/>
      <c r="C1" s="3"/>
      <c r="D1" s="3"/>
      <c r="E1" s="3"/>
      <c r="F1" s="3"/>
      <c r="G1" s="3"/>
      <c r="H1" s="3"/>
      <c r="I1" s="3"/>
    </row>
    <row r="2" spans="1:9" ht="36" customHeight="1" x14ac:dyDescent="0.25">
      <c r="A2" s="3"/>
      <c r="B2" s="133" t="s">
        <v>39</v>
      </c>
      <c r="C2" s="133"/>
      <c r="D2" s="133"/>
      <c r="E2" s="133"/>
      <c r="F2" s="133"/>
      <c r="G2" s="133"/>
      <c r="H2" s="133"/>
      <c r="I2" s="3"/>
    </row>
    <row r="3" spans="1:9" ht="18" customHeight="1" x14ac:dyDescent="0.25">
      <c r="A3" s="3"/>
      <c r="B3" s="134" t="s">
        <v>40</v>
      </c>
      <c r="C3" s="134"/>
      <c r="D3" s="134"/>
      <c r="E3" s="134"/>
      <c r="F3" s="134"/>
      <c r="G3" s="134"/>
      <c r="H3" s="134"/>
      <c r="I3" s="3"/>
    </row>
    <row r="4" spans="1:9" ht="3" customHeight="1" x14ac:dyDescent="0.25">
      <c r="A4" s="3"/>
      <c r="B4" s="4"/>
      <c r="C4" s="4"/>
      <c r="D4" s="4"/>
      <c r="E4" s="4"/>
      <c r="F4" s="4"/>
      <c r="G4" s="4"/>
      <c r="H4" s="4"/>
      <c r="I4" s="3"/>
    </row>
    <row r="5" spans="1:9" ht="13.5" customHeight="1" x14ac:dyDescent="0.25">
      <c r="A5" s="3"/>
      <c r="B5" s="132" t="s">
        <v>41</v>
      </c>
      <c r="C5" s="132"/>
      <c r="D5" s="132"/>
      <c r="E5" s="132"/>
      <c r="F5" s="132"/>
      <c r="G5" s="132"/>
      <c r="H5" s="132"/>
      <c r="I5" s="3"/>
    </row>
    <row r="6" spans="1:9" ht="7.5" customHeight="1" x14ac:dyDescent="0.25">
      <c r="A6" s="3"/>
      <c r="B6" s="3"/>
      <c r="C6" s="3"/>
      <c r="D6" s="3"/>
      <c r="E6" s="3"/>
      <c r="F6" s="3"/>
      <c r="G6" s="3"/>
      <c r="H6" s="3"/>
      <c r="I6" s="3"/>
    </row>
    <row r="7" spans="1:9" ht="13.5" customHeight="1" x14ac:dyDescent="0.25">
      <c r="A7" s="3"/>
      <c r="B7" s="11" t="s">
        <v>42</v>
      </c>
      <c r="C7" s="11" t="s">
        <v>43</v>
      </c>
      <c r="D7" s="11" t="s">
        <v>44</v>
      </c>
      <c r="E7" s="11" t="s">
        <v>45</v>
      </c>
      <c r="F7" s="11" t="s">
        <v>46</v>
      </c>
      <c r="G7" s="11" t="s">
        <v>47</v>
      </c>
      <c r="H7" s="3"/>
      <c r="I7" s="3"/>
    </row>
    <row r="8" spans="1:9" ht="30" customHeight="1" x14ac:dyDescent="0.25">
      <c r="A8" s="3"/>
      <c r="B8" s="12">
        <f>SUM('📂 Raw Data'!K2:K217)</f>
        <v>22598636.270000014</v>
      </c>
      <c r="C8" s="13">
        <f>SUM('📂 Raw Data'!I2:I217)</f>
        <v>25775590.27</v>
      </c>
      <c r="D8" s="12">
        <f>SUM('📂 Raw Data'!N2:N217)</f>
        <v>271183635.23999995</v>
      </c>
      <c r="E8" s="14">
        <f>AVERAGE('📂 Raw Data'!J2:J217)</f>
        <v>0.1164717592592593</v>
      </c>
      <c r="F8" s="15">
        <f>SUM('📂 Raw Data'!L2:L217)</f>
        <v>631937.0700000003</v>
      </c>
      <c r="G8" s="13">
        <f>SUM('📂 Raw Data'!M2:M217)</f>
        <v>23230573.309999999</v>
      </c>
      <c r="H8" s="3"/>
      <c r="I8" s="3"/>
    </row>
    <row r="9" spans="1:9" ht="36" customHeight="1" x14ac:dyDescent="0.25">
      <c r="A9" s="3"/>
      <c r="B9" s="16" t="s">
        <v>48</v>
      </c>
      <c r="C9" s="16" t="s">
        <v>49</v>
      </c>
      <c r="D9" s="16" t="s">
        <v>50</v>
      </c>
      <c r="E9" s="16" t="s">
        <v>51</v>
      </c>
      <c r="F9" s="16" t="s">
        <v>52</v>
      </c>
      <c r="G9" s="16" t="s">
        <v>53</v>
      </c>
      <c r="H9" s="3"/>
      <c r="I9" s="3"/>
    </row>
    <row r="10" spans="1:9" ht="30" customHeight="1" x14ac:dyDescent="0.25">
      <c r="A10" s="3"/>
      <c r="B10" s="3"/>
      <c r="C10" s="3"/>
      <c r="D10" s="3"/>
      <c r="E10" s="3"/>
      <c r="F10" s="3"/>
      <c r="G10" s="3"/>
      <c r="H10" s="3"/>
      <c r="I10" s="3"/>
    </row>
    <row r="11" spans="1:9" ht="15" customHeight="1" x14ac:dyDescent="0.25">
      <c r="A11" s="3"/>
      <c r="B11" s="3"/>
      <c r="C11" s="3"/>
      <c r="D11" s="3"/>
      <c r="E11" s="3"/>
      <c r="F11" s="3"/>
      <c r="G11" s="3"/>
      <c r="H11" s="3"/>
      <c r="I11" s="3"/>
    </row>
    <row r="12" spans="1:9" ht="15.75" customHeight="1" x14ac:dyDescent="0.25">
      <c r="A12" s="3"/>
      <c r="B12" s="132" t="s">
        <v>54</v>
      </c>
      <c r="C12" s="132"/>
      <c r="D12" s="132"/>
      <c r="E12" s="132" t="s">
        <v>55</v>
      </c>
      <c r="F12" s="132"/>
      <c r="G12" s="132" t="s">
        <v>56</v>
      </c>
      <c r="H12" s="132"/>
      <c r="I12" s="3"/>
    </row>
    <row r="13" spans="1:9" ht="13.5" customHeight="1" x14ac:dyDescent="0.25">
      <c r="A13" s="3"/>
      <c r="B13" s="17" t="s">
        <v>57</v>
      </c>
      <c r="C13" s="17" t="s">
        <v>58</v>
      </c>
      <c r="D13" s="3"/>
      <c r="E13" s="17" t="s">
        <v>59</v>
      </c>
      <c r="F13" s="17" t="s">
        <v>58</v>
      </c>
      <c r="G13" s="17" t="s">
        <v>60</v>
      </c>
      <c r="H13" s="17" t="s">
        <v>58</v>
      </c>
      <c r="I13" s="3"/>
    </row>
    <row r="14" spans="1:9" ht="18" customHeight="1" x14ac:dyDescent="0.25">
      <c r="A14" s="3"/>
      <c r="B14" s="9" t="s">
        <v>61</v>
      </c>
      <c r="C14" s="18">
        <f>SUMIF('📂 Raw Data'!C2:C217,"North America",'📂 Raw Data'!K2:K217)</f>
        <v>7896687.8999999994</v>
      </c>
      <c r="D14" s="3"/>
      <c r="E14" s="9" t="s">
        <v>62</v>
      </c>
      <c r="F14" s="18">
        <f>SUMIF('📂 Raw Data'!D2:D217,"Product B",'📂 Raw Data'!K2:K217)</f>
        <v>8533713.1199999992</v>
      </c>
      <c r="G14" s="9" t="s">
        <v>63</v>
      </c>
      <c r="H14" s="18">
        <f>SUMIF('📂 Raw Data'!F2:F217,"Enterprise",'📂 Raw Data'!K2:K217)</f>
        <v>7964772.3499999978</v>
      </c>
      <c r="I14" s="3"/>
    </row>
    <row r="15" spans="1:9" ht="18" customHeight="1" x14ac:dyDescent="0.25">
      <c r="A15" s="3"/>
      <c r="B15" s="9" t="s">
        <v>64</v>
      </c>
      <c r="C15" s="18">
        <f>SUMIF('📂 Raw Data'!C2:C217,"APAC",'📂 Raw Data'!K2:K217)</f>
        <v>7651525.1400000006</v>
      </c>
      <c r="D15" s="3"/>
      <c r="E15" s="9" t="s">
        <v>65</v>
      </c>
      <c r="F15" s="18">
        <f>SUMIF('📂 Raw Data'!D2:D217,"Product A",'📂 Raw Data'!K2:K217)</f>
        <v>7357124.1199999992</v>
      </c>
      <c r="G15" s="9" t="s">
        <v>66</v>
      </c>
      <c r="H15" s="18">
        <f>SUMIF('📂 Raw Data'!F2:F217,"Mid-Market",'📂 Raw Data'!K2:K217)</f>
        <v>7521033.3399999999</v>
      </c>
      <c r="I15" s="3"/>
    </row>
    <row r="16" spans="1:9" ht="18" customHeight="1" x14ac:dyDescent="0.25">
      <c r="A16" s="3"/>
      <c r="B16" s="9" t="s">
        <v>67</v>
      </c>
      <c r="C16" s="18">
        <f>SUMIF('📂 Raw Data'!C2:C217,"Europe",'📂 Raw Data'!K2:K217)</f>
        <v>7050423.2299999986</v>
      </c>
      <c r="D16" s="3"/>
      <c r="E16" s="9" t="s">
        <v>68</v>
      </c>
      <c r="F16" s="18">
        <f>SUMIF('📂 Raw Data'!D2:D217,"Product C",'📂 Raw Data'!K2:K217)</f>
        <v>6707799.0300000003</v>
      </c>
      <c r="G16" s="9" t="s">
        <v>69</v>
      </c>
      <c r="H16" s="18">
        <f>SUMIF('📂 Raw Data'!F2:F217,"SMB",'📂 Raw Data'!K2:K217)</f>
        <v>7112830.580000001</v>
      </c>
      <c r="I16" s="3"/>
    </row>
    <row r="17" spans="1:9" ht="15" customHeight="1" x14ac:dyDescent="0.25">
      <c r="A17" s="3"/>
      <c r="B17" s="3"/>
      <c r="C17" s="3"/>
      <c r="D17" s="3"/>
      <c r="E17" s="3"/>
      <c r="F17" s="3"/>
      <c r="G17" s="3"/>
      <c r="H17" s="3"/>
      <c r="I17" s="3"/>
    </row>
    <row r="18" spans="1:9" ht="15.75" customHeight="1" x14ac:dyDescent="0.25">
      <c r="A18" s="3"/>
      <c r="B18" s="132" t="s">
        <v>70</v>
      </c>
      <c r="C18" s="132"/>
      <c r="D18" s="132"/>
      <c r="E18" s="132" t="s">
        <v>71</v>
      </c>
      <c r="F18" s="132"/>
      <c r="G18" s="132"/>
      <c r="H18" s="132"/>
      <c r="I18" s="3"/>
    </row>
    <row r="19" spans="1:9" ht="18" customHeight="1" x14ac:dyDescent="0.25">
      <c r="A19" s="3"/>
      <c r="B19" s="19" t="s">
        <v>72</v>
      </c>
      <c r="C19" s="19" t="s">
        <v>58</v>
      </c>
      <c r="D19" s="3"/>
      <c r="E19" s="20" t="s">
        <v>73</v>
      </c>
      <c r="F19" s="21" t="str">
        <f>TEXT(AVERAGE('📂 Raw Data'!J2:J217),"0.0%")</f>
        <v>11.6%</v>
      </c>
      <c r="G19" s="22" t="s">
        <v>74</v>
      </c>
      <c r="H19" s="3"/>
      <c r="I19" s="3"/>
    </row>
    <row r="20" spans="1:9" ht="18" customHeight="1" x14ac:dyDescent="0.25">
      <c r="A20" s="3"/>
      <c r="B20" s="9" t="s">
        <v>75</v>
      </c>
      <c r="C20" s="23">
        <f>SUMIF('📂 Raw Data'!E2:E217,"Expansion",'📂 Raw Data'!K2:K217)</f>
        <v>8419565.5199999996</v>
      </c>
      <c r="D20" s="3"/>
      <c r="E20" s="20" t="s">
        <v>76</v>
      </c>
      <c r="F20" s="21" t="s">
        <v>69</v>
      </c>
      <c r="G20" s="22" t="s">
        <v>77</v>
      </c>
      <c r="H20" s="3"/>
      <c r="I20" s="3"/>
    </row>
    <row r="21" spans="1:9" ht="18" customHeight="1" x14ac:dyDescent="0.25">
      <c r="A21" s="3"/>
      <c r="B21" s="9" t="s">
        <v>78</v>
      </c>
      <c r="C21" s="23">
        <f>SUMIF('📂 Raw Data'!E2:E217,"New",'📂 Raw Data'!K2:K217)</f>
        <v>7265090.540000001</v>
      </c>
      <c r="D21" s="3"/>
      <c r="E21" s="20" t="s">
        <v>79</v>
      </c>
      <c r="F21" s="24" t="str">
        <f>TEXT(SUMIF('📂 Raw Data'!E2:E217,"Expansion",'📂 Raw Data'!K2:K217)/SUM('📂 Raw Data'!K2:K217),"0.0%")</f>
        <v>37.3%</v>
      </c>
      <c r="G21" s="22" t="s">
        <v>80</v>
      </c>
      <c r="H21" s="3"/>
      <c r="I21" s="3"/>
    </row>
    <row r="22" spans="1:9" ht="18" customHeight="1" x14ac:dyDescent="0.25">
      <c r="A22" s="3"/>
      <c r="B22" s="9" t="s">
        <v>81</v>
      </c>
      <c r="C22" s="23">
        <f>SUMIF('📂 Raw Data'!E2:E217,"Renewal",'📂 Raw Data'!K2:K217)</f>
        <v>6913980.209999999</v>
      </c>
      <c r="D22" s="3"/>
      <c r="E22" s="20" t="s">
        <v>82</v>
      </c>
      <c r="F22" s="25" t="str">
        <f>TEXT(SUMIF('📂 Raw Data'!E2:E217,"Renewal",'📂 Raw Data'!K2:K217)/SUM('📂 Raw Data'!K2:K217),"0.0%")</f>
        <v>30.6%</v>
      </c>
      <c r="G22" s="22" t="s">
        <v>83</v>
      </c>
      <c r="H22" s="3"/>
      <c r="I22" s="3"/>
    </row>
    <row r="23" spans="1:9" ht="15" customHeight="1" x14ac:dyDescent="0.25">
      <c r="A23" s="3"/>
      <c r="B23" s="3"/>
      <c r="C23" s="3"/>
      <c r="D23" s="3"/>
      <c r="E23" s="3"/>
      <c r="F23" s="3"/>
      <c r="G23" s="3"/>
      <c r="H23" s="3"/>
      <c r="I23" s="3"/>
    </row>
    <row r="24" spans="1:9" ht="15" customHeight="1" x14ac:dyDescent="0.25">
      <c r="A24" s="3"/>
      <c r="B24" s="3"/>
      <c r="C24" s="3"/>
      <c r="D24" s="3"/>
      <c r="E24" s="3"/>
      <c r="F24" s="3"/>
      <c r="G24" s="3"/>
      <c r="H24" s="3"/>
      <c r="I24" s="3"/>
    </row>
    <row r="25" spans="1:9" ht="15" customHeight="1" x14ac:dyDescent="0.25">
      <c r="A25" s="3"/>
      <c r="B25" s="3"/>
      <c r="C25" s="3"/>
      <c r="D25" s="3"/>
      <c r="E25" s="3"/>
      <c r="F25" s="3"/>
      <c r="G25" s="3"/>
      <c r="H25" s="3"/>
      <c r="I25" s="3"/>
    </row>
    <row r="26" spans="1:9" ht="15" customHeight="1" x14ac:dyDescent="0.25">
      <c r="A26" s="3"/>
      <c r="B26" s="3"/>
      <c r="C26" s="3"/>
      <c r="D26" s="3"/>
      <c r="E26" s="3"/>
      <c r="F26" s="3"/>
      <c r="G26" s="3"/>
      <c r="H26" s="3"/>
      <c r="I26" s="3"/>
    </row>
    <row r="27" spans="1:9" ht="15" customHeight="1" x14ac:dyDescent="0.25">
      <c r="A27" s="3"/>
      <c r="B27" s="3"/>
      <c r="C27" s="3"/>
      <c r="D27" s="3"/>
      <c r="E27" s="3"/>
      <c r="F27" s="3"/>
      <c r="G27" s="3"/>
      <c r="H27" s="3"/>
      <c r="I27" s="3"/>
    </row>
    <row r="28" spans="1:9" ht="15" customHeight="1" x14ac:dyDescent="0.25">
      <c r="A28" s="3"/>
      <c r="B28" s="3"/>
      <c r="C28" s="3"/>
      <c r="D28" s="3"/>
      <c r="E28" s="3"/>
      <c r="F28" s="3"/>
      <c r="G28" s="3"/>
      <c r="H28" s="3"/>
      <c r="I28" s="3"/>
    </row>
    <row r="29" spans="1:9" ht="15" customHeight="1" x14ac:dyDescent="0.25">
      <c r="A29" s="3"/>
      <c r="B29" s="3"/>
      <c r="C29" s="3"/>
      <c r="D29" s="3"/>
      <c r="E29" s="3"/>
      <c r="F29" s="3"/>
      <c r="G29" s="3"/>
      <c r="H29" s="3"/>
      <c r="I29" s="3"/>
    </row>
    <row r="30" spans="1:9" ht="15" customHeight="1" x14ac:dyDescent="0.25">
      <c r="A30" s="3"/>
      <c r="B30" s="3"/>
      <c r="C30" s="3"/>
      <c r="D30" s="3"/>
      <c r="E30" s="3"/>
      <c r="F30" s="3"/>
      <c r="G30" s="3"/>
      <c r="H30" s="3"/>
      <c r="I30" s="3"/>
    </row>
    <row r="31" spans="1:9" ht="15" customHeight="1" x14ac:dyDescent="0.25">
      <c r="A31" s="3"/>
      <c r="B31" s="3"/>
      <c r="C31" s="3"/>
      <c r="D31" s="3"/>
      <c r="E31" s="3"/>
      <c r="F31" s="3"/>
      <c r="G31" s="3"/>
      <c r="H31" s="3"/>
      <c r="I31" s="3"/>
    </row>
    <row r="32" spans="1:9" ht="15" customHeight="1" x14ac:dyDescent="0.25">
      <c r="A32" s="3"/>
      <c r="B32" s="3"/>
      <c r="C32" s="3"/>
      <c r="D32" s="3"/>
      <c r="E32" s="3"/>
      <c r="F32" s="3"/>
      <c r="G32" s="3"/>
      <c r="H32" s="3"/>
      <c r="I32" s="3"/>
    </row>
    <row r="33" spans="1:9" ht="15" customHeight="1" x14ac:dyDescent="0.25">
      <c r="A33" s="3"/>
      <c r="B33" s="3"/>
      <c r="C33" s="3"/>
      <c r="D33" s="3"/>
      <c r="E33" s="3"/>
      <c r="F33" s="3"/>
      <c r="G33" s="3"/>
      <c r="H33" s="3"/>
      <c r="I33" s="3"/>
    </row>
    <row r="34" spans="1:9" ht="15" customHeight="1" x14ac:dyDescent="0.25">
      <c r="A34" s="3"/>
      <c r="B34" s="3"/>
      <c r="C34" s="3"/>
      <c r="D34" s="3"/>
      <c r="E34" s="3"/>
      <c r="F34" s="3"/>
      <c r="G34" s="3"/>
      <c r="H34" s="3"/>
      <c r="I34" s="3"/>
    </row>
    <row r="35" spans="1:9" ht="15" customHeight="1" x14ac:dyDescent="0.25">
      <c r="A35" s="3"/>
      <c r="B35" s="3"/>
      <c r="C35" s="3"/>
      <c r="D35" s="3"/>
      <c r="E35" s="3"/>
      <c r="F35" s="3"/>
      <c r="G35" s="3"/>
      <c r="H35" s="3"/>
      <c r="I35" s="3"/>
    </row>
    <row r="36" spans="1:9" ht="15" customHeight="1" x14ac:dyDescent="0.25">
      <c r="A36" s="3"/>
      <c r="B36" s="3"/>
      <c r="C36" s="3"/>
      <c r="D36" s="3"/>
      <c r="E36" s="3"/>
      <c r="F36" s="3"/>
      <c r="G36" s="3"/>
      <c r="H36" s="3"/>
      <c r="I36" s="3"/>
    </row>
    <row r="37" spans="1:9" ht="15" customHeight="1" x14ac:dyDescent="0.25">
      <c r="A37" s="3"/>
      <c r="B37" s="3"/>
      <c r="C37" s="3"/>
      <c r="D37" s="3"/>
      <c r="E37" s="3"/>
      <c r="F37" s="3"/>
      <c r="G37" s="3"/>
      <c r="H37" s="3"/>
      <c r="I37" s="3"/>
    </row>
    <row r="38" spans="1:9" ht="15" customHeight="1" x14ac:dyDescent="0.25">
      <c r="A38" s="3"/>
      <c r="B38" s="3"/>
      <c r="C38" s="3"/>
      <c r="D38" s="3"/>
      <c r="E38" s="3"/>
      <c r="F38" s="3"/>
      <c r="G38" s="3"/>
      <c r="H38" s="3"/>
      <c r="I38" s="3"/>
    </row>
    <row r="39" spans="1:9" ht="15" customHeight="1" x14ac:dyDescent="0.25">
      <c r="A39" s="3"/>
      <c r="B39" s="3"/>
      <c r="C39" s="3"/>
      <c r="D39" s="3"/>
      <c r="E39" s="3"/>
      <c r="F39" s="3"/>
      <c r="G39" s="3"/>
      <c r="H39" s="3"/>
      <c r="I39" s="3"/>
    </row>
    <row r="40" spans="1:9" ht="15" customHeight="1" x14ac:dyDescent="0.25">
      <c r="A40" s="3"/>
      <c r="B40" s="3"/>
      <c r="C40" s="3"/>
      <c r="D40" s="3"/>
      <c r="E40" s="3"/>
      <c r="F40" s="3"/>
      <c r="G40" s="3"/>
      <c r="H40" s="3"/>
      <c r="I40" s="3"/>
    </row>
    <row r="41" spans="1:9" ht="15" customHeight="1" x14ac:dyDescent="0.25">
      <c r="A41" s="3"/>
      <c r="B41" s="3"/>
      <c r="C41" s="3"/>
      <c r="D41" s="3"/>
      <c r="E41" s="3"/>
      <c r="F41" s="3"/>
      <c r="G41" s="3"/>
      <c r="H41" s="3"/>
      <c r="I41" s="3"/>
    </row>
    <row r="42" spans="1:9" ht="15" customHeight="1" x14ac:dyDescent="0.25">
      <c r="A42" s="3"/>
      <c r="B42" s="3"/>
      <c r="C42" s="3"/>
      <c r="D42" s="3"/>
      <c r="E42" s="3"/>
      <c r="F42" s="3"/>
      <c r="G42" s="3"/>
      <c r="H42" s="3"/>
      <c r="I42" s="3"/>
    </row>
    <row r="43" spans="1:9" ht="15" customHeight="1" x14ac:dyDescent="0.25">
      <c r="A43" s="3"/>
      <c r="B43" s="3"/>
      <c r="C43" s="3"/>
      <c r="D43" s="3"/>
      <c r="E43" s="3"/>
      <c r="F43" s="3"/>
      <c r="G43" s="3"/>
      <c r="H43" s="3"/>
      <c r="I43" s="3"/>
    </row>
    <row r="44" spans="1:9" ht="15" customHeight="1" x14ac:dyDescent="0.25">
      <c r="A44" s="3"/>
      <c r="B44" s="3"/>
      <c r="C44" s="3"/>
      <c r="D44" s="3"/>
      <c r="E44" s="3"/>
      <c r="F44" s="3"/>
      <c r="G44" s="3"/>
      <c r="H44" s="3"/>
      <c r="I44" s="3"/>
    </row>
    <row r="45" spans="1:9" ht="15" customHeight="1" x14ac:dyDescent="0.25">
      <c r="A45" s="3"/>
      <c r="B45" s="3"/>
      <c r="C45" s="3"/>
      <c r="D45" s="3"/>
      <c r="E45" s="3"/>
      <c r="F45" s="3"/>
      <c r="G45" s="3"/>
      <c r="H45" s="3"/>
      <c r="I45" s="3"/>
    </row>
    <row r="46" spans="1:9" ht="15" customHeight="1" x14ac:dyDescent="0.25">
      <c r="A46" s="3"/>
      <c r="B46" s="3"/>
      <c r="C46" s="3"/>
      <c r="D46" s="3"/>
      <c r="E46" s="3"/>
      <c r="F46" s="3"/>
      <c r="G46" s="3"/>
      <c r="H46" s="3"/>
      <c r="I46" s="3"/>
    </row>
    <row r="47" spans="1:9" ht="15" customHeight="1" x14ac:dyDescent="0.25">
      <c r="A47" s="3"/>
      <c r="B47" s="3"/>
      <c r="C47" s="3"/>
      <c r="D47" s="3"/>
      <c r="E47" s="3"/>
      <c r="F47" s="3"/>
      <c r="G47" s="3"/>
      <c r="H47" s="3"/>
      <c r="I47" s="3"/>
    </row>
    <row r="48" spans="1:9" ht="15" customHeight="1" x14ac:dyDescent="0.25">
      <c r="A48" s="3"/>
      <c r="B48" s="3"/>
      <c r="C48" s="3"/>
      <c r="D48" s="3"/>
      <c r="E48" s="3"/>
      <c r="F48" s="3"/>
      <c r="G48" s="3"/>
      <c r="H48" s="3"/>
      <c r="I48" s="3"/>
    </row>
    <row r="49" spans="1:9" ht="15" customHeight="1" x14ac:dyDescent="0.25">
      <c r="A49" s="3"/>
      <c r="B49" s="3"/>
      <c r="C49" s="3"/>
      <c r="D49" s="3"/>
      <c r="E49" s="3"/>
      <c r="F49" s="3"/>
      <c r="G49" s="3"/>
      <c r="H49" s="3"/>
      <c r="I49" s="3"/>
    </row>
    <row r="50" spans="1:9" ht="15" customHeight="1" x14ac:dyDescent="0.25">
      <c r="A50" s="3"/>
      <c r="B50" s="3"/>
      <c r="C50" s="3"/>
      <c r="D50" s="3"/>
      <c r="E50" s="3"/>
      <c r="F50" s="3"/>
      <c r="G50" s="3"/>
      <c r="H50" s="3"/>
      <c r="I50" s="3"/>
    </row>
    <row r="51" spans="1:9" ht="15" customHeight="1" x14ac:dyDescent="0.25">
      <c r="A51" s="3"/>
      <c r="B51" s="3"/>
      <c r="C51" s="3"/>
      <c r="D51" s="3"/>
      <c r="E51" s="3"/>
      <c r="F51" s="3"/>
      <c r="G51" s="3"/>
      <c r="H51" s="3"/>
      <c r="I51" s="3"/>
    </row>
    <row r="52" spans="1:9" ht="15" customHeight="1" x14ac:dyDescent="0.25">
      <c r="A52" s="3"/>
      <c r="B52" s="3"/>
      <c r="C52" s="3"/>
      <c r="D52" s="3"/>
      <c r="E52" s="3"/>
      <c r="F52" s="3"/>
      <c r="G52" s="3"/>
      <c r="H52" s="3"/>
      <c r="I52" s="3"/>
    </row>
    <row r="53" spans="1:9" ht="15" customHeight="1" x14ac:dyDescent="0.25">
      <c r="A53" s="3"/>
      <c r="B53" s="3"/>
      <c r="C53" s="3"/>
      <c r="D53" s="3"/>
      <c r="E53" s="3"/>
      <c r="F53" s="3"/>
      <c r="G53" s="3"/>
      <c r="H53" s="3"/>
      <c r="I53" s="3"/>
    </row>
    <row r="54" spans="1:9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</row>
    <row r="55" spans="1:9" ht="15" customHeight="1" x14ac:dyDescent="0.25">
      <c r="A55" s="3"/>
      <c r="B55" s="3"/>
      <c r="C55" s="3"/>
      <c r="D55" s="3"/>
      <c r="E55" s="3"/>
      <c r="F55" s="3"/>
      <c r="G55" s="3"/>
      <c r="H55" s="3"/>
      <c r="I55" s="3"/>
    </row>
    <row r="56" spans="1:9" ht="15" customHeight="1" x14ac:dyDescent="0.25">
      <c r="A56" s="3"/>
      <c r="B56" s="3"/>
      <c r="C56" s="3"/>
      <c r="D56" s="3"/>
      <c r="E56" s="3"/>
      <c r="F56" s="3"/>
      <c r="G56" s="3"/>
      <c r="H56" s="3"/>
      <c r="I56" s="3"/>
    </row>
    <row r="57" spans="1:9" ht="15" customHeight="1" x14ac:dyDescent="0.25">
      <c r="A57" s="3"/>
      <c r="B57" s="3"/>
      <c r="C57" s="3"/>
      <c r="D57" s="3"/>
      <c r="E57" s="3"/>
      <c r="F57" s="3"/>
      <c r="G57" s="3"/>
      <c r="H57" s="3"/>
      <c r="I57" s="3"/>
    </row>
    <row r="58" spans="1:9" ht="15" customHeight="1" x14ac:dyDescent="0.25">
      <c r="A58" s="3"/>
      <c r="B58" s="3"/>
      <c r="C58" s="3"/>
      <c r="D58" s="3"/>
      <c r="E58" s="3"/>
      <c r="F58" s="3"/>
      <c r="G58" s="3"/>
      <c r="H58" s="3"/>
      <c r="I58" s="3"/>
    </row>
    <row r="59" spans="1:9" ht="15" customHeight="1" x14ac:dyDescent="0.25">
      <c r="A59" s="3"/>
      <c r="B59" s="3"/>
      <c r="C59" s="3"/>
      <c r="D59" s="3"/>
      <c r="E59" s="3"/>
      <c r="F59" s="3"/>
      <c r="G59" s="3"/>
      <c r="H59" s="3"/>
      <c r="I59" s="3"/>
    </row>
  </sheetData>
  <mergeCells count="8">
    <mergeCell ref="B18:D18"/>
    <mergeCell ref="E18:H18"/>
    <mergeCell ref="B2:H2"/>
    <mergeCell ref="B3:H3"/>
    <mergeCell ref="B5:H5"/>
    <mergeCell ref="B12:D12"/>
    <mergeCell ref="E12:F12"/>
    <mergeCell ref="G12:H1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6" tint="0.59999389629810485"/>
  </sheetPr>
  <dimension ref="A1:F79"/>
  <sheetViews>
    <sheetView showGridLines="0" topLeftCell="A9" zoomScaleNormal="100" workbookViewId="0">
      <selection activeCell="B21" sqref="B21"/>
    </sheetView>
  </sheetViews>
  <sheetFormatPr defaultColWidth="8.7109375" defaultRowHeight="15" x14ac:dyDescent="0.25"/>
  <cols>
    <col min="1" max="1" width="3" customWidth="1"/>
    <col min="2" max="2" width="26.5703125" customWidth="1"/>
    <col min="3" max="3" width="26" customWidth="1"/>
    <col min="4" max="4" width="30" customWidth="1"/>
    <col min="5" max="5" width="26" customWidth="1"/>
    <col min="6" max="6" width="3" customWidth="1"/>
  </cols>
  <sheetData>
    <row r="1" spans="1:6" ht="15" customHeight="1" x14ac:dyDescent="0.25">
      <c r="A1" s="3"/>
      <c r="B1" s="3"/>
      <c r="C1" s="3"/>
      <c r="D1" s="3"/>
      <c r="E1" s="3"/>
      <c r="F1" s="3"/>
    </row>
    <row r="2" spans="1:6" ht="36" customHeight="1" x14ac:dyDescent="0.25">
      <c r="A2" s="3"/>
      <c r="B2" s="133" t="s">
        <v>84</v>
      </c>
      <c r="C2" s="133"/>
      <c r="D2" s="133"/>
      <c r="E2" s="133"/>
      <c r="F2" s="3"/>
    </row>
    <row r="3" spans="1:6" ht="18" customHeight="1" x14ac:dyDescent="0.25">
      <c r="A3" s="3"/>
      <c r="B3" s="137" t="s">
        <v>85</v>
      </c>
      <c r="C3" s="137"/>
      <c r="D3" s="137"/>
      <c r="E3" s="137"/>
      <c r="F3" s="3"/>
    </row>
    <row r="4" spans="1:6" ht="3" customHeight="1" x14ac:dyDescent="0.25">
      <c r="A4" s="3"/>
      <c r="B4" s="4"/>
      <c r="C4" s="4"/>
      <c r="D4" s="4"/>
      <c r="E4" s="4"/>
      <c r="F4" s="3"/>
    </row>
    <row r="5" spans="1:6" ht="15" customHeight="1" x14ac:dyDescent="0.25">
      <c r="A5" s="3"/>
      <c r="B5" s="3"/>
      <c r="C5" s="3"/>
      <c r="D5" s="3"/>
      <c r="E5" s="3"/>
      <c r="F5" s="3"/>
    </row>
    <row r="6" spans="1:6" ht="3.75" customHeight="1" x14ac:dyDescent="0.25">
      <c r="A6" s="3"/>
      <c r="B6" s="3"/>
      <c r="C6" s="3"/>
      <c r="D6" s="3"/>
      <c r="E6" s="3"/>
      <c r="F6" s="3"/>
    </row>
    <row r="7" spans="1:6" ht="24" customHeight="1" x14ac:dyDescent="0.25">
      <c r="A7" s="3"/>
      <c r="B7" s="138" t="s">
        <v>86</v>
      </c>
      <c r="C7" s="138"/>
      <c r="D7" s="138"/>
      <c r="E7" s="138"/>
      <c r="F7" s="3"/>
    </row>
    <row r="8" spans="1:6" ht="13.5" customHeight="1" x14ac:dyDescent="0.25">
      <c r="A8" s="3"/>
      <c r="B8" s="26" t="s">
        <v>87</v>
      </c>
      <c r="C8" s="26" t="s">
        <v>88</v>
      </c>
      <c r="D8" s="26" t="s">
        <v>89</v>
      </c>
      <c r="E8" s="26" t="s">
        <v>90</v>
      </c>
      <c r="F8" s="3"/>
    </row>
    <row r="9" spans="1:6" ht="63.75" customHeight="1" x14ac:dyDescent="0.25">
      <c r="A9" s="3"/>
      <c r="B9" s="27" t="s">
        <v>91</v>
      </c>
      <c r="C9" s="22" t="s">
        <v>92</v>
      </c>
      <c r="D9" s="28" t="s">
        <v>93</v>
      </c>
      <c r="E9" s="29" t="s">
        <v>94</v>
      </c>
      <c r="F9" s="3"/>
    </row>
    <row r="10" spans="1:6" ht="3.75" customHeight="1" x14ac:dyDescent="0.25">
      <c r="A10" s="3"/>
      <c r="B10" s="3"/>
      <c r="C10" s="3"/>
      <c r="D10" s="3"/>
      <c r="E10" s="3"/>
      <c r="F10" s="3"/>
    </row>
    <row r="11" spans="1:6" ht="24" customHeight="1" x14ac:dyDescent="0.25">
      <c r="A11" s="3"/>
      <c r="B11" s="135" t="s">
        <v>95</v>
      </c>
      <c r="C11" s="135"/>
      <c r="D11" s="135"/>
      <c r="E11" s="135"/>
      <c r="F11" s="3"/>
    </row>
    <row r="12" spans="1:6" ht="13.5" customHeight="1" x14ac:dyDescent="0.25">
      <c r="A12" s="3"/>
      <c r="B12" s="26" t="s">
        <v>87</v>
      </c>
      <c r="C12" s="26" t="s">
        <v>88</v>
      </c>
      <c r="D12" s="26" t="s">
        <v>89</v>
      </c>
      <c r="E12" s="26" t="s">
        <v>90</v>
      </c>
      <c r="F12" s="3"/>
    </row>
    <row r="13" spans="1:6" ht="75" customHeight="1" x14ac:dyDescent="0.25">
      <c r="A13" s="3"/>
      <c r="B13" s="27" t="s">
        <v>96</v>
      </c>
      <c r="C13" s="22" t="s">
        <v>97</v>
      </c>
      <c r="D13" s="28" t="s">
        <v>98</v>
      </c>
      <c r="E13" s="30" t="s">
        <v>99</v>
      </c>
      <c r="F13" s="3"/>
    </row>
    <row r="14" spans="1:6" ht="3.75" customHeight="1" x14ac:dyDescent="0.25">
      <c r="A14" s="3"/>
      <c r="B14" s="3"/>
      <c r="C14" s="3"/>
      <c r="D14" s="3"/>
      <c r="E14" s="3"/>
      <c r="F14" s="3"/>
    </row>
    <row r="15" spans="1:6" ht="24" customHeight="1" x14ac:dyDescent="0.25">
      <c r="A15" s="3"/>
      <c r="B15" s="138" t="s">
        <v>100</v>
      </c>
      <c r="C15" s="138"/>
      <c r="D15" s="138"/>
      <c r="E15" s="138"/>
      <c r="F15" s="3"/>
    </row>
    <row r="16" spans="1:6" ht="13.5" customHeight="1" x14ac:dyDescent="0.25">
      <c r="A16" s="3"/>
      <c r="B16" s="26" t="s">
        <v>87</v>
      </c>
      <c r="C16" s="26" t="s">
        <v>88</v>
      </c>
      <c r="D16" s="26" t="s">
        <v>89</v>
      </c>
      <c r="E16" s="26" t="s">
        <v>90</v>
      </c>
      <c r="F16" s="3"/>
    </row>
    <row r="17" spans="1:6" ht="75" customHeight="1" x14ac:dyDescent="0.25">
      <c r="A17" s="3"/>
      <c r="B17" s="27" t="s">
        <v>101</v>
      </c>
      <c r="C17" s="22" t="s">
        <v>102</v>
      </c>
      <c r="D17" s="28" t="s">
        <v>103</v>
      </c>
      <c r="E17" s="29" t="s">
        <v>94</v>
      </c>
      <c r="F17" s="3"/>
    </row>
    <row r="18" spans="1:6" ht="3.75" customHeight="1" x14ac:dyDescent="0.25">
      <c r="A18" s="3"/>
      <c r="B18" s="3"/>
      <c r="C18" s="3"/>
      <c r="D18" s="3"/>
      <c r="E18" s="3"/>
      <c r="F18" s="3"/>
    </row>
    <row r="19" spans="1:6" ht="24" customHeight="1" x14ac:dyDescent="0.25">
      <c r="A19" s="3"/>
      <c r="B19" s="135" t="s">
        <v>104</v>
      </c>
      <c r="C19" s="135"/>
      <c r="D19" s="135"/>
      <c r="E19" s="135"/>
      <c r="F19" s="3"/>
    </row>
    <row r="20" spans="1:6" ht="13.5" customHeight="1" x14ac:dyDescent="0.25">
      <c r="A20" s="3"/>
      <c r="B20" s="26" t="s">
        <v>87</v>
      </c>
      <c r="C20" s="26" t="s">
        <v>88</v>
      </c>
      <c r="D20" s="26" t="s">
        <v>89</v>
      </c>
      <c r="E20" s="26" t="s">
        <v>90</v>
      </c>
      <c r="F20" s="3"/>
    </row>
    <row r="21" spans="1:6" ht="63.75" customHeight="1" x14ac:dyDescent="0.25">
      <c r="A21" s="3"/>
      <c r="B21" s="27" t="s">
        <v>105</v>
      </c>
      <c r="C21" s="22" t="s">
        <v>106</v>
      </c>
      <c r="D21" s="28" t="s">
        <v>107</v>
      </c>
      <c r="E21" s="30" t="s">
        <v>99</v>
      </c>
      <c r="F21" s="3"/>
    </row>
    <row r="22" spans="1:6" ht="3.75" customHeight="1" x14ac:dyDescent="0.25">
      <c r="A22" s="3"/>
      <c r="B22" s="3"/>
      <c r="C22" s="3"/>
      <c r="D22" s="3"/>
      <c r="E22" s="3"/>
      <c r="F22" s="3"/>
    </row>
    <row r="23" spans="1:6" ht="24" customHeight="1" x14ac:dyDescent="0.25">
      <c r="A23" s="3"/>
      <c r="B23" s="136" t="s">
        <v>108</v>
      </c>
      <c r="C23" s="136"/>
      <c r="D23" s="136"/>
      <c r="E23" s="136"/>
      <c r="F23" s="3"/>
    </row>
    <row r="24" spans="1:6" ht="13.5" customHeight="1" x14ac:dyDescent="0.25">
      <c r="A24" s="3"/>
      <c r="B24" s="26" t="s">
        <v>87</v>
      </c>
      <c r="C24" s="26" t="s">
        <v>88</v>
      </c>
      <c r="D24" s="26" t="s">
        <v>89</v>
      </c>
      <c r="E24" s="26" t="s">
        <v>90</v>
      </c>
      <c r="F24" s="3"/>
    </row>
    <row r="25" spans="1:6" ht="90.75" customHeight="1" x14ac:dyDescent="0.25">
      <c r="A25" s="3"/>
      <c r="B25" s="27" t="s">
        <v>109</v>
      </c>
      <c r="C25" s="22" t="s">
        <v>110</v>
      </c>
      <c r="D25" s="28" t="s">
        <v>111</v>
      </c>
      <c r="E25" s="31" t="s">
        <v>112</v>
      </c>
      <c r="F25" s="3"/>
    </row>
    <row r="26" spans="1:6" ht="15" customHeight="1" x14ac:dyDescent="0.25">
      <c r="A26" s="3"/>
      <c r="B26" s="3"/>
      <c r="C26" s="3"/>
      <c r="D26" s="3"/>
      <c r="E26" s="3"/>
      <c r="F26" s="3"/>
    </row>
    <row r="27" spans="1:6" ht="15" customHeight="1" x14ac:dyDescent="0.25">
      <c r="A27" s="3"/>
      <c r="B27" s="3"/>
      <c r="C27" s="3"/>
      <c r="D27" s="3"/>
      <c r="E27" s="3"/>
      <c r="F27" s="3"/>
    </row>
    <row r="28" spans="1:6" ht="15" customHeight="1" x14ac:dyDescent="0.25">
      <c r="A28" s="3"/>
      <c r="B28" s="3"/>
      <c r="C28" s="3"/>
      <c r="D28" s="3"/>
      <c r="E28" s="3"/>
      <c r="F28" s="3"/>
    </row>
    <row r="29" spans="1:6" ht="15" customHeight="1" x14ac:dyDescent="0.25">
      <c r="A29" s="3"/>
      <c r="B29" s="3"/>
      <c r="C29" s="3"/>
      <c r="D29" s="3"/>
      <c r="E29" s="3"/>
      <c r="F29" s="3"/>
    </row>
    <row r="30" spans="1:6" ht="15" customHeight="1" x14ac:dyDescent="0.25">
      <c r="A30" s="3"/>
      <c r="B30" s="3"/>
      <c r="C30" s="3"/>
      <c r="D30" s="3"/>
      <c r="E30" s="3"/>
      <c r="F30" s="3"/>
    </row>
    <row r="31" spans="1:6" ht="15" customHeight="1" x14ac:dyDescent="0.25">
      <c r="A31" s="3"/>
      <c r="B31" s="3"/>
      <c r="C31" s="3"/>
      <c r="D31" s="3"/>
      <c r="E31" s="3"/>
      <c r="F31" s="3"/>
    </row>
    <row r="32" spans="1:6" ht="15" customHeight="1" x14ac:dyDescent="0.25">
      <c r="A32" s="3"/>
      <c r="B32" s="3"/>
      <c r="C32" s="3"/>
      <c r="D32" s="3"/>
      <c r="E32" s="3"/>
      <c r="F32" s="3"/>
    </row>
    <row r="33" spans="1:6" ht="15" customHeight="1" x14ac:dyDescent="0.25">
      <c r="A33" s="3"/>
      <c r="B33" s="3"/>
      <c r="C33" s="3"/>
      <c r="D33" s="3"/>
      <c r="E33" s="3"/>
      <c r="F33" s="3"/>
    </row>
    <row r="34" spans="1:6" ht="15" customHeight="1" x14ac:dyDescent="0.25">
      <c r="A34" s="3"/>
      <c r="B34" s="3"/>
      <c r="C34" s="3"/>
      <c r="D34" s="3"/>
      <c r="E34" s="3"/>
      <c r="F34" s="3"/>
    </row>
    <row r="35" spans="1:6" ht="15" customHeight="1" x14ac:dyDescent="0.25">
      <c r="A35" s="3"/>
      <c r="B35" s="3"/>
      <c r="C35" s="3"/>
      <c r="D35" s="3"/>
      <c r="E35" s="3"/>
      <c r="F35" s="3"/>
    </row>
    <row r="36" spans="1:6" ht="15" customHeight="1" x14ac:dyDescent="0.25">
      <c r="A36" s="3"/>
      <c r="B36" s="3"/>
      <c r="C36" s="3"/>
      <c r="D36" s="3"/>
      <c r="E36" s="3"/>
      <c r="F36" s="3"/>
    </row>
    <row r="37" spans="1:6" ht="15" customHeight="1" x14ac:dyDescent="0.25">
      <c r="A37" s="3"/>
      <c r="B37" s="3"/>
      <c r="C37" s="3"/>
      <c r="D37" s="3"/>
      <c r="E37" s="3"/>
      <c r="F37" s="3"/>
    </row>
    <row r="38" spans="1:6" ht="15" customHeight="1" x14ac:dyDescent="0.25">
      <c r="A38" s="3"/>
      <c r="B38" s="3"/>
      <c r="C38" s="3"/>
      <c r="D38" s="3"/>
      <c r="E38" s="3"/>
      <c r="F38" s="3"/>
    </row>
    <row r="39" spans="1:6" ht="15" customHeight="1" x14ac:dyDescent="0.25">
      <c r="A39" s="3"/>
      <c r="B39" s="3"/>
      <c r="C39" s="3"/>
      <c r="D39" s="3"/>
      <c r="E39" s="3"/>
      <c r="F39" s="3"/>
    </row>
    <row r="40" spans="1:6" ht="15" customHeight="1" x14ac:dyDescent="0.25">
      <c r="A40" s="3"/>
      <c r="B40" s="3"/>
      <c r="C40" s="3"/>
      <c r="D40" s="3"/>
      <c r="E40" s="3"/>
      <c r="F40" s="3"/>
    </row>
    <row r="41" spans="1:6" ht="15" customHeight="1" x14ac:dyDescent="0.25">
      <c r="A41" s="3"/>
      <c r="B41" s="3"/>
      <c r="C41" s="3"/>
      <c r="D41" s="3"/>
      <c r="E41" s="3"/>
      <c r="F41" s="3"/>
    </row>
    <row r="42" spans="1:6" ht="15" customHeight="1" x14ac:dyDescent="0.25">
      <c r="A42" s="3"/>
      <c r="B42" s="3"/>
      <c r="C42" s="3"/>
      <c r="D42" s="3"/>
      <c r="E42" s="3"/>
      <c r="F42" s="3"/>
    </row>
    <row r="43" spans="1:6" ht="15" customHeight="1" x14ac:dyDescent="0.25">
      <c r="A43" s="3"/>
      <c r="B43" s="3"/>
      <c r="C43" s="3"/>
      <c r="D43" s="3"/>
      <c r="E43" s="3"/>
      <c r="F43" s="3"/>
    </row>
    <row r="44" spans="1:6" ht="15" customHeight="1" x14ac:dyDescent="0.25">
      <c r="A44" s="3"/>
      <c r="B44" s="3"/>
      <c r="C44" s="3"/>
      <c r="D44" s="3"/>
      <c r="E44" s="3"/>
      <c r="F44" s="3"/>
    </row>
    <row r="45" spans="1:6" ht="15" customHeight="1" x14ac:dyDescent="0.25">
      <c r="A45" s="3"/>
      <c r="B45" s="3"/>
      <c r="C45" s="3"/>
      <c r="D45" s="3"/>
      <c r="E45" s="3"/>
      <c r="F45" s="3"/>
    </row>
    <row r="46" spans="1:6" ht="15" customHeight="1" x14ac:dyDescent="0.25">
      <c r="A46" s="3"/>
      <c r="B46" s="3"/>
      <c r="C46" s="3"/>
      <c r="D46" s="3"/>
      <c r="E46" s="3"/>
      <c r="F46" s="3"/>
    </row>
    <row r="47" spans="1:6" ht="15" customHeight="1" x14ac:dyDescent="0.25">
      <c r="A47" s="3"/>
      <c r="B47" s="3"/>
      <c r="C47" s="3"/>
      <c r="D47" s="3"/>
      <c r="E47" s="3"/>
      <c r="F47" s="3"/>
    </row>
    <row r="48" spans="1:6" ht="15" customHeight="1" x14ac:dyDescent="0.25">
      <c r="A48" s="3"/>
      <c r="B48" s="3"/>
      <c r="C48" s="3"/>
      <c r="D48" s="3"/>
      <c r="E48" s="3"/>
      <c r="F48" s="3"/>
    </row>
    <row r="49" spans="1:6" ht="15" customHeight="1" x14ac:dyDescent="0.25">
      <c r="A49" s="3"/>
      <c r="B49" s="3"/>
      <c r="C49" s="3"/>
      <c r="D49" s="3"/>
      <c r="E49" s="3"/>
      <c r="F49" s="3"/>
    </row>
    <row r="50" spans="1:6" ht="15" customHeight="1" x14ac:dyDescent="0.25">
      <c r="A50" s="3"/>
      <c r="B50" s="3"/>
      <c r="C50" s="3"/>
      <c r="D50" s="3"/>
      <c r="E50" s="3"/>
      <c r="F50" s="3"/>
    </row>
    <row r="51" spans="1:6" ht="15" customHeight="1" x14ac:dyDescent="0.25">
      <c r="A51" s="3"/>
      <c r="B51" s="3"/>
      <c r="C51" s="3"/>
      <c r="D51" s="3"/>
      <c r="E51" s="3"/>
      <c r="F51" s="3"/>
    </row>
    <row r="52" spans="1:6" ht="15" customHeight="1" x14ac:dyDescent="0.25">
      <c r="A52" s="3"/>
      <c r="B52" s="3"/>
      <c r="C52" s="3"/>
      <c r="D52" s="3"/>
      <c r="E52" s="3"/>
      <c r="F52" s="3"/>
    </row>
    <row r="53" spans="1:6" ht="15" customHeight="1" x14ac:dyDescent="0.25">
      <c r="A53" s="3"/>
      <c r="B53" s="3"/>
      <c r="C53" s="3"/>
      <c r="D53" s="3"/>
      <c r="E53" s="3"/>
      <c r="F53" s="3"/>
    </row>
    <row r="54" spans="1:6" ht="15" customHeight="1" x14ac:dyDescent="0.25">
      <c r="A54" s="3"/>
      <c r="B54" s="3"/>
      <c r="C54" s="3"/>
      <c r="D54" s="3"/>
      <c r="E54" s="3"/>
      <c r="F54" s="3"/>
    </row>
    <row r="55" spans="1:6" ht="15" customHeight="1" x14ac:dyDescent="0.25">
      <c r="A55" s="3"/>
      <c r="B55" s="3"/>
      <c r="C55" s="3"/>
      <c r="D55" s="3"/>
      <c r="E55" s="3"/>
      <c r="F55" s="3"/>
    </row>
    <row r="56" spans="1:6" ht="15" customHeight="1" x14ac:dyDescent="0.25">
      <c r="A56" s="3"/>
      <c r="B56" s="3"/>
      <c r="C56" s="3"/>
      <c r="D56" s="3"/>
      <c r="E56" s="3"/>
      <c r="F56" s="3"/>
    </row>
    <row r="57" spans="1:6" ht="15" customHeight="1" x14ac:dyDescent="0.25">
      <c r="A57" s="3"/>
      <c r="B57" s="3"/>
      <c r="C57" s="3"/>
      <c r="D57" s="3"/>
      <c r="E57" s="3"/>
      <c r="F57" s="3"/>
    </row>
    <row r="58" spans="1:6" ht="15" customHeight="1" x14ac:dyDescent="0.25">
      <c r="A58" s="3"/>
      <c r="B58" s="3"/>
      <c r="C58" s="3"/>
      <c r="D58" s="3"/>
      <c r="E58" s="3"/>
      <c r="F58" s="3"/>
    </row>
    <row r="59" spans="1:6" ht="15" customHeight="1" x14ac:dyDescent="0.25">
      <c r="A59" s="3"/>
      <c r="B59" s="3"/>
      <c r="C59" s="3"/>
      <c r="D59" s="3"/>
      <c r="E59" s="3"/>
      <c r="F59" s="3"/>
    </row>
    <row r="60" spans="1:6" ht="15" customHeight="1" x14ac:dyDescent="0.25">
      <c r="A60" s="3"/>
      <c r="B60" s="3"/>
      <c r="C60" s="3"/>
      <c r="D60" s="3"/>
      <c r="E60" s="3"/>
      <c r="F60" s="3"/>
    </row>
    <row r="61" spans="1:6" ht="15" customHeight="1" x14ac:dyDescent="0.25">
      <c r="A61" s="3"/>
      <c r="B61" s="3"/>
      <c r="C61" s="3"/>
      <c r="D61" s="3"/>
      <c r="E61" s="3"/>
      <c r="F61" s="3"/>
    </row>
    <row r="62" spans="1:6" ht="15" customHeight="1" x14ac:dyDescent="0.25">
      <c r="A62" s="3"/>
      <c r="B62" s="3"/>
      <c r="C62" s="3"/>
      <c r="D62" s="3"/>
      <c r="E62" s="3"/>
      <c r="F62" s="3"/>
    </row>
    <row r="63" spans="1:6" ht="15" customHeight="1" x14ac:dyDescent="0.25">
      <c r="A63" s="3"/>
      <c r="B63" s="3"/>
      <c r="C63" s="3"/>
      <c r="D63" s="3"/>
      <c r="E63" s="3"/>
      <c r="F63" s="3"/>
    </row>
    <row r="64" spans="1:6" ht="15" customHeight="1" x14ac:dyDescent="0.25">
      <c r="A64" s="3"/>
      <c r="B64" s="3"/>
      <c r="C64" s="3"/>
      <c r="D64" s="3"/>
      <c r="E64" s="3"/>
      <c r="F64" s="3"/>
    </row>
    <row r="65" spans="1:6" ht="15" customHeight="1" x14ac:dyDescent="0.25">
      <c r="A65" s="3"/>
      <c r="B65" s="3"/>
      <c r="C65" s="3"/>
      <c r="D65" s="3"/>
      <c r="E65" s="3"/>
      <c r="F65" s="3"/>
    </row>
    <row r="66" spans="1:6" ht="15" customHeight="1" x14ac:dyDescent="0.25">
      <c r="A66" s="3"/>
      <c r="B66" s="3"/>
      <c r="C66" s="3"/>
      <c r="D66" s="3"/>
      <c r="E66" s="3"/>
      <c r="F66" s="3"/>
    </row>
    <row r="67" spans="1:6" ht="15" customHeight="1" x14ac:dyDescent="0.25">
      <c r="A67" s="3"/>
      <c r="B67" s="3"/>
      <c r="C67" s="3"/>
      <c r="D67" s="3"/>
      <c r="E67" s="3"/>
      <c r="F67" s="3"/>
    </row>
    <row r="68" spans="1:6" ht="15" customHeight="1" x14ac:dyDescent="0.25">
      <c r="A68" s="3"/>
      <c r="B68" s="3"/>
      <c r="C68" s="3"/>
      <c r="D68" s="3"/>
      <c r="E68" s="3"/>
      <c r="F68" s="3"/>
    </row>
    <row r="69" spans="1:6" ht="15" customHeight="1" x14ac:dyDescent="0.25">
      <c r="A69" s="3"/>
      <c r="B69" s="3"/>
      <c r="C69" s="3"/>
      <c r="D69" s="3"/>
      <c r="E69" s="3"/>
      <c r="F69" s="3"/>
    </row>
    <row r="70" spans="1:6" ht="15" customHeight="1" x14ac:dyDescent="0.25">
      <c r="A70" s="3"/>
      <c r="B70" s="3"/>
      <c r="C70" s="3"/>
      <c r="D70" s="3"/>
      <c r="E70" s="3"/>
      <c r="F70" s="3"/>
    </row>
    <row r="71" spans="1:6" ht="15" customHeight="1" x14ac:dyDescent="0.25">
      <c r="A71" s="3"/>
      <c r="B71" s="3"/>
      <c r="C71" s="3"/>
      <c r="D71" s="3"/>
      <c r="E71" s="3"/>
      <c r="F71" s="3"/>
    </row>
    <row r="72" spans="1:6" ht="15" customHeight="1" x14ac:dyDescent="0.25">
      <c r="A72" s="3"/>
      <c r="B72" s="3"/>
      <c r="C72" s="3"/>
      <c r="D72" s="3"/>
      <c r="E72" s="3"/>
      <c r="F72" s="3"/>
    </row>
    <row r="73" spans="1:6" ht="15" customHeight="1" x14ac:dyDescent="0.25">
      <c r="A73" s="3"/>
      <c r="B73" s="3"/>
      <c r="C73" s="3"/>
      <c r="D73" s="3"/>
      <c r="E73" s="3"/>
      <c r="F73" s="3"/>
    </row>
    <row r="74" spans="1:6" ht="15" customHeight="1" x14ac:dyDescent="0.25">
      <c r="A74" s="3"/>
      <c r="B74" s="3"/>
      <c r="C74" s="3"/>
      <c r="D74" s="3"/>
      <c r="E74" s="3"/>
      <c r="F74" s="3"/>
    </row>
    <row r="75" spans="1:6" ht="15" customHeight="1" x14ac:dyDescent="0.25">
      <c r="A75" s="3"/>
      <c r="B75" s="3"/>
      <c r="C75" s="3"/>
      <c r="D75" s="3"/>
      <c r="E75" s="3"/>
      <c r="F75" s="3"/>
    </row>
    <row r="76" spans="1:6" ht="15" customHeight="1" x14ac:dyDescent="0.25">
      <c r="A76" s="3"/>
      <c r="B76" s="3"/>
      <c r="C76" s="3"/>
      <c r="D76" s="3"/>
      <c r="E76" s="3"/>
      <c r="F76" s="3"/>
    </row>
    <row r="77" spans="1:6" ht="15" customHeight="1" x14ac:dyDescent="0.25">
      <c r="A77" s="3"/>
      <c r="B77" s="3"/>
      <c r="C77" s="3"/>
      <c r="D77" s="3"/>
      <c r="E77" s="3"/>
      <c r="F77" s="3"/>
    </row>
    <row r="78" spans="1:6" ht="15" customHeight="1" x14ac:dyDescent="0.25">
      <c r="A78" s="3"/>
      <c r="B78" s="3"/>
      <c r="C78" s="3"/>
      <c r="D78" s="3"/>
      <c r="E78" s="3"/>
      <c r="F78" s="3"/>
    </row>
    <row r="79" spans="1:6" ht="15" customHeight="1" x14ac:dyDescent="0.25">
      <c r="A79" s="3"/>
      <c r="B79" s="3"/>
      <c r="C79" s="3"/>
      <c r="D79" s="3"/>
      <c r="E79" s="3"/>
      <c r="F79" s="3"/>
    </row>
  </sheetData>
  <mergeCells count="7">
    <mergeCell ref="B19:E19"/>
    <mergeCell ref="B23:E23"/>
    <mergeCell ref="B2:E2"/>
    <mergeCell ref="B3:E3"/>
    <mergeCell ref="B7:E7"/>
    <mergeCell ref="B11:E11"/>
    <mergeCell ref="B15:E1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 tint="0.59999389629810485"/>
  </sheetPr>
  <dimension ref="A1:J99"/>
  <sheetViews>
    <sheetView showGridLines="0" topLeftCell="A15" zoomScaleNormal="100" workbookViewId="0">
      <selection activeCell="B21" sqref="B21"/>
    </sheetView>
  </sheetViews>
  <sheetFormatPr defaultColWidth="8.7109375" defaultRowHeight="15" x14ac:dyDescent="0.25"/>
  <cols>
    <col min="1" max="1" width="3" customWidth="1"/>
    <col min="2" max="2" width="16" customWidth="1"/>
    <col min="3" max="9" width="14" customWidth="1"/>
    <col min="10" max="10" width="3" customWidth="1"/>
  </cols>
  <sheetData>
    <row r="1" spans="1:10" ht="15" customHeight="1" x14ac:dyDescent="0.25">
      <c r="A1" s="3"/>
      <c r="B1" s="3"/>
      <c r="C1" s="3"/>
      <c r="D1" s="3"/>
      <c r="E1" s="3"/>
      <c r="F1" s="3"/>
      <c r="G1" s="3"/>
      <c r="H1" s="3"/>
      <c r="I1" s="3"/>
      <c r="J1" s="3"/>
    </row>
    <row r="2" spans="1:10" ht="31.5" customHeight="1" x14ac:dyDescent="0.25">
      <c r="A2" s="3"/>
      <c r="B2" s="139" t="s">
        <v>113</v>
      </c>
      <c r="C2" s="139"/>
      <c r="D2" s="139"/>
      <c r="E2" s="139"/>
      <c r="F2" s="139"/>
      <c r="G2" s="139"/>
      <c r="H2" s="139"/>
      <c r="I2" s="139"/>
      <c r="J2" s="3"/>
    </row>
    <row r="3" spans="1:10" ht="3" customHeight="1" x14ac:dyDescent="0.25">
      <c r="A3" s="3"/>
      <c r="B3" s="4"/>
      <c r="C3" s="4"/>
      <c r="D3" s="4"/>
      <c r="E3" s="4"/>
      <c r="F3" s="4"/>
      <c r="G3" s="4"/>
      <c r="H3" s="4"/>
      <c r="I3" s="4"/>
      <c r="J3" s="3"/>
    </row>
    <row r="4" spans="1:10" ht="15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</row>
    <row r="5" spans="1:10" ht="15.75" customHeight="1" x14ac:dyDescent="0.25">
      <c r="A5" s="3"/>
      <c r="B5" s="132" t="s">
        <v>114</v>
      </c>
      <c r="C5" s="132"/>
      <c r="D5" s="132"/>
      <c r="E5" s="132"/>
      <c r="F5" s="132"/>
      <c r="G5" s="132"/>
      <c r="H5" s="132"/>
      <c r="I5" s="132"/>
      <c r="J5" s="3"/>
    </row>
    <row r="6" spans="1:10" ht="13.5" customHeight="1" x14ac:dyDescent="0.25">
      <c r="A6" s="3"/>
      <c r="B6" s="32" t="s">
        <v>115</v>
      </c>
      <c r="C6" s="32" t="s">
        <v>116</v>
      </c>
      <c r="D6" s="32" t="s">
        <v>58</v>
      </c>
      <c r="E6" s="32" t="s">
        <v>117</v>
      </c>
      <c r="F6" s="32" t="s">
        <v>118</v>
      </c>
      <c r="G6" s="32" t="s">
        <v>119</v>
      </c>
      <c r="H6" s="32" t="s">
        <v>120</v>
      </c>
      <c r="I6" s="32" t="s">
        <v>121</v>
      </c>
      <c r="J6" s="3"/>
    </row>
    <row r="7" spans="1:10" ht="15.75" customHeight="1" x14ac:dyDescent="0.25">
      <c r="A7" s="3"/>
      <c r="B7" s="33" t="s">
        <v>122</v>
      </c>
      <c r="C7" s="34">
        <f>SUMIFS('📂 Raw Data'!I2:I217,'📂 Raw Data'!B2:B217,B7)</f>
        <v>759773.83</v>
      </c>
      <c r="D7" s="34">
        <f>SUMIFS('📂 Raw Data'!K2:K217,'📂 Raw Data'!B2:B217,B7)</f>
        <v>653003.46</v>
      </c>
      <c r="E7" s="34">
        <f>SUMIFS('📂 Raw Data'!N2:N217,'📂 Raw Data'!B2:B217,B7)</f>
        <v>7836041.6399999997</v>
      </c>
      <c r="F7" s="34">
        <f>SUMIFS('📂 Raw Data'!O2:O217,'📂 Raw Data'!B2:B217,B7)</f>
        <v>653003.46</v>
      </c>
      <c r="G7" s="35">
        <f>AVERAGEIFS('📂 Raw Data'!J2:J217,'📂 Raw Data'!B2:B217,B7)</f>
        <v>0.11867777777777778</v>
      </c>
      <c r="H7" s="34">
        <f>SUMIFS('📂 Raw Data'!L2:L217,'📂 Raw Data'!B2:B217,B7)</f>
        <v>14989.52</v>
      </c>
      <c r="I7" s="36">
        <f>SUMIFS('📂 Raw Data'!M2:M217,'📂 Raw Data'!B2:B217,B7)</f>
        <v>667992.9800000001</v>
      </c>
      <c r="J7" s="3"/>
    </row>
    <row r="8" spans="1:10" ht="15.75" customHeight="1" x14ac:dyDescent="0.25">
      <c r="A8" s="3"/>
      <c r="B8" s="37" t="s">
        <v>123</v>
      </c>
      <c r="C8" s="38">
        <f>SUMIFS('📂 Raw Data'!I2:I217,'📂 Raw Data'!B2:B217,B8)</f>
        <v>641991.03</v>
      </c>
      <c r="D8" s="38">
        <f>SUMIFS('📂 Raw Data'!K2:K217,'📂 Raw Data'!B2:B217,B8)</f>
        <v>583177.6</v>
      </c>
      <c r="E8" s="38">
        <f>SUMIFS('📂 Raw Data'!N2:N217,'📂 Raw Data'!B2:B217,B8)</f>
        <v>6998131.2499999991</v>
      </c>
      <c r="F8" s="38">
        <f>SUMIFS('📂 Raw Data'!O2:O217,'📂 Raw Data'!B2:B217,B8)</f>
        <v>583177.6</v>
      </c>
      <c r="G8" s="39">
        <f>AVERAGEIFS('📂 Raw Data'!J2:J217,'📂 Raw Data'!B2:B217,B8)</f>
        <v>9.735555555555557E-2</v>
      </c>
      <c r="H8" s="38">
        <f>SUMIFS('📂 Raw Data'!L2:L217,'📂 Raw Data'!B2:B217,B8)</f>
        <v>2686.4600000000005</v>
      </c>
      <c r="I8" s="40">
        <f>SUMIFS('📂 Raw Data'!M2:M217,'📂 Raw Data'!B2:B217,B8)</f>
        <v>585864.05000000005</v>
      </c>
      <c r="J8" s="3"/>
    </row>
    <row r="9" spans="1:10" ht="15.75" customHeight="1" x14ac:dyDescent="0.25">
      <c r="A9" s="3"/>
      <c r="B9" s="33" t="s">
        <v>124</v>
      </c>
      <c r="C9" s="34">
        <f>SUMIFS('📂 Raw Data'!I2:I217,'📂 Raw Data'!B2:B217,B9)</f>
        <v>1151682.1099999999</v>
      </c>
      <c r="D9" s="34">
        <f>SUMIFS('📂 Raw Data'!K2:K217,'📂 Raw Data'!B2:B217,B9)</f>
        <v>1059807.9700000002</v>
      </c>
      <c r="E9" s="34">
        <f>SUMIFS('📂 Raw Data'!N2:N217,'📂 Raw Data'!B2:B217,B9)</f>
        <v>12717695.550000001</v>
      </c>
      <c r="F9" s="34">
        <f>SUMIFS('📂 Raw Data'!O2:O217,'📂 Raw Data'!B2:B217,B9)</f>
        <v>1059807.9700000002</v>
      </c>
      <c r="G9" s="35">
        <f>AVERAGEIFS('📂 Raw Data'!J2:J217,'📂 Raw Data'!B2:B217,B9)</f>
        <v>8.6166666666666669E-2</v>
      </c>
      <c r="H9" s="34">
        <f>SUMIFS('📂 Raw Data'!L2:L217,'📂 Raw Data'!B2:B217,B9)</f>
        <v>41833.939999999995</v>
      </c>
      <c r="I9" s="36">
        <f>SUMIFS('📂 Raw Data'!M2:M217,'📂 Raw Data'!B2:B217,B9)</f>
        <v>1101641.8999999999</v>
      </c>
      <c r="J9" s="3"/>
    </row>
    <row r="10" spans="1:10" ht="15.75" customHeight="1" x14ac:dyDescent="0.25">
      <c r="A10" s="3"/>
      <c r="B10" s="37" t="s">
        <v>125</v>
      </c>
      <c r="C10" s="38">
        <f>SUMIFS('📂 Raw Data'!I2:I217,'📂 Raw Data'!B2:B217,B10)</f>
        <v>1135182.73</v>
      </c>
      <c r="D10" s="38">
        <f>SUMIFS('📂 Raw Data'!K2:K217,'📂 Raw Data'!B2:B217,B10)</f>
        <v>973180.27</v>
      </c>
      <c r="E10" s="38">
        <f>SUMIFS('📂 Raw Data'!N2:N217,'📂 Raw Data'!B2:B217,B10)</f>
        <v>11678163.34</v>
      </c>
      <c r="F10" s="38">
        <f>SUMIFS('📂 Raw Data'!O2:O217,'📂 Raw Data'!B2:B217,B10)</f>
        <v>973180.27</v>
      </c>
      <c r="G10" s="41">
        <f>AVERAGEIFS('📂 Raw Data'!J2:J217,'📂 Raw Data'!B2:B217,B10)</f>
        <v>0.14396666666666669</v>
      </c>
      <c r="H10" s="38">
        <f>SUMIFS('📂 Raw Data'!L2:L217,'📂 Raw Data'!B2:B217,B10)</f>
        <v>43722.63</v>
      </c>
      <c r="I10" s="40">
        <f>SUMIFS('📂 Raw Data'!M2:M217,'📂 Raw Data'!B2:B217,B10)</f>
        <v>1016902.8899999999</v>
      </c>
      <c r="J10" s="3"/>
    </row>
    <row r="11" spans="1:10" ht="15.75" customHeight="1" x14ac:dyDescent="0.25">
      <c r="A11" s="3"/>
      <c r="B11" s="33" t="s">
        <v>126</v>
      </c>
      <c r="C11" s="34">
        <f>SUMIFS('📂 Raw Data'!I2:I217,'📂 Raw Data'!B2:B217,B11)</f>
        <v>1064439.29</v>
      </c>
      <c r="D11" s="34">
        <f>SUMIFS('📂 Raw Data'!K2:K217,'📂 Raw Data'!B2:B217,B11)</f>
        <v>965325.7</v>
      </c>
      <c r="E11" s="34">
        <f>SUMIFS('📂 Raw Data'!N2:N217,'📂 Raw Data'!B2:B217,B11)</f>
        <v>11583908.309999999</v>
      </c>
      <c r="F11" s="34">
        <f>SUMIFS('📂 Raw Data'!O2:O217,'📂 Raw Data'!B2:B217,B11)</f>
        <v>965325.7</v>
      </c>
      <c r="G11" s="35">
        <f>AVERAGEIFS('📂 Raw Data'!J2:J217,'📂 Raw Data'!B2:B217,B11)</f>
        <v>7.7499999999999999E-2</v>
      </c>
      <c r="H11" s="34">
        <f>SUMIFS('📂 Raw Data'!L2:L217,'📂 Raw Data'!B2:B217,B11)</f>
        <v>16162.459999999995</v>
      </c>
      <c r="I11" s="36">
        <f>SUMIFS('📂 Raw Data'!M2:M217,'📂 Raw Data'!B2:B217,B11)</f>
        <v>981488.15000000014</v>
      </c>
      <c r="J11" s="3"/>
    </row>
    <row r="12" spans="1:10" ht="15.75" customHeight="1" x14ac:dyDescent="0.25">
      <c r="A12" s="3"/>
      <c r="B12" s="37" t="s">
        <v>127</v>
      </c>
      <c r="C12" s="38">
        <f>SUMIFS('📂 Raw Data'!I2:I217,'📂 Raw Data'!B2:B217,B12)</f>
        <v>777405.83000000007</v>
      </c>
      <c r="D12" s="38">
        <f>SUMIFS('📂 Raw Data'!K2:K217,'📂 Raw Data'!B2:B217,B12)</f>
        <v>692527.11</v>
      </c>
      <c r="E12" s="38">
        <f>SUMIFS('📂 Raw Data'!N2:N217,'📂 Raw Data'!B2:B217,B12)</f>
        <v>8310325.3799999999</v>
      </c>
      <c r="F12" s="38">
        <f>SUMIFS('📂 Raw Data'!O2:O217,'📂 Raw Data'!B2:B217,B12)</f>
        <v>692527.11</v>
      </c>
      <c r="G12" s="39">
        <f>AVERAGEIFS('📂 Raw Data'!J2:J217,'📂 Raw Data'!B2:B217,B12)</f>
        <v>0.1111</v>
      </c>
      <c r="H12" s="38">
        <f>SUMIFS('📂 Raw Data'!L2:L217,'📂 Raw Data'!B2:B217,B12)</f>
        <v>26325.990000000005</v>
      </c>
      <c r="I12" s="40">
        <f>SUMIFS('📂 Raw Data'!M2:M217,'📂 Raw Data'!B2:B217,B12)</f>
        <v>718853.11999999988</v>
      </c>
      <c r="J12" s="3"/>
    </row>
    <row r="13" spans="1:10" ht="15.75" customHeight="1" x14ac:dyDescent="0.25">
      <c r="A13" s="3"/>
      <c r="B13" s="33" t="s">
        <v>128</v>
      </c>
      <c r="C13" s="34">
        <f>SUMIFS('📂 Raw Data'!I2:I217,'📂 Raw Data'!B2:B217,B13)</f>
        <v>1371764.6199999999</v>
      </c>
      <c r="D13" s="34">
        <f>SUMIFS('📂 Raw Data'!K2:K217,'📂 Raw Data'!B2:B217,B13)</f>
        <v>1218456.71</v>
      </c>
      <c r="E13" s="34">
        <f>SUMIFS('📂 Raw Data'!N2:N217,'📂 Raw Data'!B2:B217,B13)</f>
        <v>14621480.529999999</v>
      </c>
      <c r="F13" s="34">
        <f>SUMIFS('📂 Raw Data'!O2:O217,'📂 Raw Data'!B2:B217,B13)</f>
        <v>1218456.71</v>
      </c>
      <c r="G13" s="35">
        <f>AVERAGEIFS('📂 Raw Data'!J2:J217,'📂 Raw Data'!B2:B217,B13)</f>
        <v>0.11130000000000001</v>
      </c>
      <c r="H13" s="42">
        <f>SUMIFS('📂 Raw Data'!L2:L217,'📂 Raw Data'!B2:B217,B13)</f>
        <v>-649.53000000000429</v>
      </c>
      <c r="I13" s="36">
        <f>SUMIFS('📂 Raw Data'!M2:M217,'📂 Raw Data'!B2:B217,B13)</f>
        <v>1217807.18</v>
      </c>
      <c r="J13" s="3"/>
    </row>
    <row r="14" spans="1:10" ht="15.75" customHeight="1" x14ac:dyDescent="0.25">
      <c r="A14" s="3"/>
      <c r="B14" s="37" t="s">
        <v>129</v>
      </c>
      <c r="C14" s="38">
        <f>SUMIFS('📂 Raw Data'!I2:I217,'📂 Raw Data'!B2:B217,B14)</f>
        <v>738981.86</v>
      </c>
      <c r="D14" s="38">
        <f>SUMIFS('📂 Raw Data'!K2:K217,'📂 Raw Data'!B2:B217,B14)</f>
        <v>637601.64</v>
      </c>
      <c r="E14" s="38">
        <f>SUMIFS('📂 Raw Data'!N2:N217,'📂 Raw Data'!B2:B217,B14)</f>
        <v>7651219.46</v>
      </c>
      <c r="F14" s="38">
        <f>SUMIFS('📂 Raw Data'!O2:O217,'📂 Raw Data'!B2:B217,B14)</f>
        <v>637601.64</v>
      </c>
      <c r="G14" s="41">
        <f>AVERAGEIFS('📂 Raw Data'!J2:J217,'📂 Raw Data'!B2:B217,B14)</f>
        <v>0.1244111111111111</v>
      </c>
      <c r="H14" s="38">
        <f>SUMIFS('📂 Raw Data'!L2:L217,'📂 Raw Data'!B2:B217,B14)</f>
        <v>4066.0199999999986</v>
      </c>
      <c r="I14" s="40">
        <f>SUMIFS('📂 Raw Data'!M2:M217,'📂 Raw Data'!B2:B217,B14)</f>
        <v>641667.65999999992</v>
      </c>
      <c r="J14" s="3"/>
    </row>
    <row r="15" spans="1:10" ht="15.75" customHeight="1" x14ac:dyDescent="0.25">
      <c r="A15" s="3"/>
      <c r="B15" s="33" t="s">
        <v>130</v>
      </c>
      <c r="C15" s="34">
        <f>SUMIFS('📂 Raw Data'!I2:I217,'📂 Raw Data'!B2:B217,B15)</f>
        <v>1835974.68</v>
      </c>
      <c r="D15" s="34">
        <f>SUMIFS('📂 Raw Data'!K2:K217,'📂 Raw Data'!B2:B217,B15)</f>
        <v>1568177.05</v>
      </c>
      <c r="E15" s="34">
        <f>SUMIFS('📂 Raw Data'!N2:N217,'📂 Raw Data'!B2:B217,B15)</f>
        <v>18818124.57</v>
      </c>
      <c r="F15" s="34">
        <f>SUMIFS('📂 Raw Data'!O2:O217,'📂 Raw Data'!B2:B217,B15)</f>
        <v>1568177.05</v>
      </c>
      <c r="G15" s="43">
        <f>AVERAGEIFS('📂 Raw Data'!J2:J217,'📂 Raw Data'!B2:B217,B15)</f>
        <v>0.12230000000000001</v>
      </c>
      <c r="H15" s="34">
        <f>SUMIFS('📂 Raw Data'!L2:L217,'📂 Raw Data'!B2:B217,B15)</f>
        <v>46928.9</v>
      </c>
      <c r="I15" s="36">
        <f>SUMIFS('📂 Raw Data'!M2:M217,'📂 Raw Data'!B2:B217,B15)</f>
        <v>1615105.9499999997</v>
      </c>
      <c r="J15" s="3"/>
    </row>
    <row r="16" spans="1:10" ht="15.75" customHeight="1" x14ac:dyDescent="0.25">
      <c r="A16" s="3"/>
      <c r="B16" s="37" t="s">
        <v>131</v>
      </c>
      <c r="C16" s="38">
        <f>SUMIFS('📂 Raw Data'!I2:I217,'📂 Raw Data'!B2:B217,B16)</f>
        <v>912231.09</v>
      </c>
      <c r="D16" s="38">
        <f>SUMIFS('📂 Raw Data'!K2:K217,'📂 Raw Data'!B2:B217,B16)</f>
        <v>776190.30999999994</v>
      </c>
      <c r="E16" s="38">
        <f>SUMIFS('📂 Raw Data'!N2:N217,'📂 Raw Data'!B2:B217,B16)</f>
        <v>9314283.7699999996</v>
      </c>
      <c r="F16" s="38">
        <f>SUMIFS('📂 Raw Data'!O2:O217,'📂 Raw Data'!B2:B217,B16)</f>
        <v>776190.30999999994</v>
      </c>
      <c r="G16" s="41">
        <f>AVERAGEIFS('📂 Raw Data'!J2:J217,'📂 Raw Data'!B2:B217,B16)</f>
        <v>0.12925555555555557</v>
      </c>
      <c r="H16" s="38">
        <f>SUMIFS('📂 Raw Data'!L2:L217,'📂 Raw Data'!B2:B217,B16)</f>
        <v>21344.559999999998</v>
      </c>
      <c r="I16" s="40">
        <f>SUMIFS('📂 Raw Data'!M2:M217,'📂 Raw Data'!B2:B217,B16)</f>
        <v>797534.86999999988</v>
      </c>
      <c r="J16" s="3"/>
    </row>
    <row r="17" spans="1:10" ht="15.75" customHeight="1" x14ac:dyDescent="0.25">
      <c r="A17" s="3"/>
      <c r="B17" s="33" t="s">
        <v>132</v>
      </c>
      <c r="C17" s="34">
        <f>SUMIFS('📂 Raw Data'!I2:I217,'📂 Raw Data'!B2:B217,B17)</f>
        <v>959174.15</v>
      </c>
      <c r="D17" s="34">
        <f>SUMIFS('📂 Raw Data'!K2:K217,'📂 Raw Data'!B2:B217,B17)</f>
        <v>882368.33000000007</v>
      </c>
      <c r="E17" s="34">
        <f>SUMIFS('📂 Raw Data'!N2:N217,'📂 Raw Data'!B2:B217,B17)</f>
        <v>10588419.85</v>
      </c>
      <c r="F17" s="34">
        <f>SUMIFS('📂 Raw Data'!O2:O217,'📂 Raw Data'!B2:B217,B17)</f>
        <v>882368.33000000007</v>
      </c>
      <c r="G17" s="35">
        <f>AVERAGEIFS('📂 Raw Data'!J2:J217,'📂 Raw Data'!B2:B217,B17)</f>
        <v>8.7077777777777782E-2</v>
      </c>
      <c r="H17" s="34">
        <f>SUMIFS('📂 Raw Data'!L2:L217,'📂 Raw Data'!B2:B217,B17)</f>
        <v>10759.52</v>
      </c>
      <c r="I17" s="36">
        <f>SUMIFS('📂 Raw Data'!M2:M217,'📂 Raw Data'!B2:B217,B17)</f>
        <v>893127.83000000007</v>
      </c>
      <c r="J17" s="3"/>
    </row>
    <row r="18" spans="1:10" ht="15.75" customHeight="1" x14ac:dyDescent="0.25">
      <c r="A18" s="3"/>
      <c r="B18" s="37" t="s">
        <v>133</v>
      </c>
      <c r="C18" s="38">
        <f>SUMIFS('📂 Raw Data'!I2:I217,'📂 Raw Data'!B2:B217,B18)</f>
        <v>1248081.57</v>
      </c>
      <c r="D18" s="38">
        <f>SUMIFS('📂 Raw Data'!K2:K217,'📂 Raw Data'!B2:B217,B18)</f>
        <v>1104736.3599999999</v>
      </c>
      <c r="E18" s="38">
        <f>SUMIFS('📂 Raw Data'!N2:N217,'📂 Raw Data'!B2:B217,B18)</f>
        <v>13256836.15</v>
      </c>
      <c r="F18" s="38">
        <f>SUMIFS('📂 Raw Data'!O2:O217,'📂 Raw Data'!B2:B217,B18)</f>
        <v>1104736.3599999999</v>
      </c>
      <c r="G18" s="39">
        <f>AVERAGEIFS('📂 Raw Data'!J2:J217,'📂 Raw Data'!B2:B217,B18)</f>
        <v>0.10112222222222221</v>
      </c>
      <c r="H18" s="38">
        <f>SUMIFS('📂 Raw Data'!L2:L217,'📂 Raw Data'!B2:B217,B18)</f>
        <v>13578.939999999999</v>
      </c>
      <c r="I18" s="40">
        <f>SUMIFS('📂 Raw Data'!M2:M217,'📂 Raw Data'!B2:B217,B18)</f>
        <v>1118315.26</v>
      </c>
      <c r="J18" s="3"/>
    </row>
    <row r="19" spans="1:10" ht="15.75" customHeight="1" x14ac:dyDescent="0.25">
      <c r="A19" s="3"/>
      <c r="B19" s="33" t="s">
        <v>134</v>
      </c>
      <c r="C19" s="34">
        <f>SUMIFS('📂 Raw Data'!I2:I217,'📂 Raw Data'!B2:B217,B19)</f>
        <v>1199518.76</v>
      </c>
      <c r="D19" s="34">
        <f>SUMIFS('📂 Raw Data'!K2:K217,'📂 Raw Data'!B2:B217,B19)</f>
        <v>1051419.3600000001</v>
      </c>
      <c r="E19" s="34">
        <f>SUMIFS('📂 Raw Data'!N2:N217,'📂 Raw Data'!B2:B217,B19)</f>
        <v>12617032.35</v>
      </c>
      <c r="F19" s="34">
        <f>SUMIFS('📂 Raw Data'!O2:O217,'📂 Raw Data'!B2:B217,B19)</f>
        <v>1051419.3600000001</v>
      </c>
      <c r="G19" s="43">
        <f>AVERAGEIFS('📂 Raw Data'!J2:J217,'📂 Raw Data'!B2:B217,B19)</f>
        <v>0.12586666666666668</v>
      </c>
      <c r="H19" s="34">
        <f>SUMIFS('📂 Raw Data'!L2:L217,'📂 Raw Data'!B2:B217,B19)</f>
        <v>74240.55</v>
      </c>
      <c r="I19" s="36">
        <f>SUMIFS('📂 Raw Data'!M2:M217,'📂 Raw Data'!B2:B217,B19)</f>
        <v>1125659.9300000002</v>
      </c>
      <c r="J19" s="3"/>
    </row>
    <row r="20" spans="1:10" ht="15.75" customHeight="1" x14ac:dyDescent="0.25">
      <c r="A20" s="3"/>
      <c r="B20" s="37" t="s">
        <v>135</v>
      </c>
      <c r="C20" s="38">
        <f>SUMIFS('📂 Raw Data'!I2:I217,'📂 Raw Data'!B2:B217,B20)</f>
        <v>880586.34999999986</v>
      </c>
      <c r="D20" s="38">
        <f>SUMIFS('📂 Raw Data'!K2:K217,'📂 Raw Data'!B2:B217,B20)</f>
        <v>723705.39</v>
      </c>
      <c r="E20" s="38">
        <f>SUMIFS('📂 Raw Data'!N2:N217,'📂 Raw Data'!B2:B217,B20)</f>
        <v>8684464.75</v>
      </c>
      <c r="F20" s="38">
        <f>SUMIFS('📂 Raw Data'!O2:O217,'📂 Raw Data'!B2:B217,B20)</f>
        <v>723705.39</v>
      </c>
      <c r="G20" s="41">
        <f>AVERAGEIFS('📂 Raw Data'!J2:J217,'📂 Raw Data'!B2:B217,B20)</f>
        <v>0.1718888888888889</v>
      </c>
      <c r="H20" s="44">
        <f>SUMIFS('📂 Raw Data'!L2:L217,'📂 Raw Data'!B2:B217,B20)</f>
        <v>-17854.440000000002</v>
      </c>
      <c r="I20" s="40">
        <f>SUMIFS('📂 Raw Data'!M2:M217,'📂 Raw Data'!B2:B217,B20)</f>
        <v>705850.96000000008</v>
      </c>
      <c r="J20" s="3"/>
    </row>
    <row r="21" spans="1:10" ht="15.75" customHeight="1" x14ac:dyDescent="0.25">
      <c r="A21" s="3"/>
      <c r="B21" s="33" t="s">
        <v>136</v>
      </c>
      <c r="C21" s="34">
        <f>SUMIFS('📂 Raw Data'!I2:I217,'📂 Raw Data'!B2:B217,B21)</f>
        <v>1080829.3</v>
      </c>
      <c r="D21" s="34">
        <f>SUMIFS('📂 Raw Data'!K2:K217,'📂 Raw Data'!B2:B217,B21)</f>
        <v>963510.89999999991</v>
      </c>
      <c r="E21" s="34">
        <f>SUMIFS('📂 Raw Data'!N2:N217,'📂 Raw Data'!B2:B217,B21)</f>
        <v>11562130.73</v>
      </c>
      <c r="F21" s="34">
        <f>SUMIFS('📂 Raw Data'!O2:O217,'📂 Raw Data'!B2:B217,B21)</f>
        <v>963510.89999999991</v>
      </c>
      <c r="G21" s="35">
        <f>AVERAGEIFS('📂 Raw Data'!J2:J217,'📂 Raw Data'!B2:B217,B21)</f>
        <v>0.11013333333333333</v>
      </c>
      <c r="H21" s="34">
        <f>SUMIFS('📂 Raw Data'!L2:L217,'📂 Raw Data'!B2:B217,B21)</f>
        <v>37243.540000000008</v>
      </c>
      <c r="I21" s="36">
        <f>SUMIFS('📂 Raw Data'!M2:M217,'📂 Raw Data'!B2:B217,B21)</f>
        <v>1000754.45</v>
      </c>
      <c r="J21" s="3"/>
    </row>
    <row r="22" spans="1:10" ht="15.75" customHeight="1" x14ac:dyDescent="0.25">
      <c r="A22" s="3"/>
      <c r="B22" s="37" t="s">
        <v>137</v>
      </c>
      <c r="C22" s="38">
        <f>SUMIFS('📂 Raw Data'!I2:I217,'📂 Raw Data'!B2:B217,B22)</f>
        <v>1297154.31</v>
      </c>
      <c r="D22" s="38">
        <f>SUMIFS('📂 Raw Data'!K2:K217,'📂 Raw Data'!B2:B217,B22)</f>
        <v>1175868.1600000001</v>
      </c>
      <c r="E22" s="38">
        <f>SUMIFS('📂 Raw Data'!N2:N217,'📂 Raw Data'!B2:B217,B22)</f>
        <v>14110418.040000001</v>
      </c>
      <c r="F22" s="38">
        <f>SUMIFS('📂 Raw Data'!O2:O217,'📂 Raw Data'!B2:B217,B22)</f>
        <v>1175868.1600000001</v>
      </c>
      <c r="G22" s="39">
        <f>AVERAGEIFS('📂 Raw Data'!J2:J217,'📂 Raw Data'!B2:B217,B22)</f>
        <v>9.0155555555555558E-2</v>
      </c>
      <c r="H22" s="44">
        <f>SUMIFS('📂 Raw Data'!L2:L217,'📂 Raw Data'!B2:B217,B22)</f>
        <v>-19347.659999999996</v>
      </c>
      <c r="I22" s="40">
        <f>SUMIFS('📂 Raw Data'!M2:M217,'📂 Raw Data'!B2:B217,B22)</f>
        <v>1156520.51</v>
      </c>
      <c r="J22" s="3"/>
    </row>
    <row r="23" spans="1:10" ht="15.75" customHeight="1" x14ac:dyDescent="0.25">
      <c r="A23" s="3"/>
      <c r="B23" s="33" t="s">
        <v>138</v>
      </c>
      <c r="C23" s="34">
        <f>SUMIFS('📂 Raw Data'!I2:I217,'📂 Raw Data'!B2:B217,B23)</f>
        <v>1051122.3199999998</v>
      </c>
      <c r="D23" s="34">
        <f>SUMIFS('📂 Raw Data'!K2:K217,'📂 Raw Data'!B2:B217,B23)</f>
        <v>901474.63</v>
      </c>
      <c r="E23" s="34">
        <f>SUMIFS('📂 Raw Data'!N2:N217,'📂 Raw Data'!B2:B217,B23)</f>
        <v>10817695.609999999</v>
      </c>
      <c r="F23" s="34">
        <f>SUMIFS('📂 Raw Data'!O2:O217,'📂 Raw Data'!B2:B217,B23)</f>
        <v>901474.63</v>
      </c>
      <c r="G23" s="43">
        <f>AVERAGEIFS('📂 Raw Data'!J2:J217,'📂 Raw Data'!B2:B217,B23)</f>
        <v>0.13092222222222222</v>
      </c>
      <c r="H23" s="34">
        <f>SUMIFS('📂 Raw Data'!L2:L217,'📂 Raw Data'!B2:B217,B23)</f>
        <v>61707.28</v>
      </c>
      <c r="I23" s="36">
        <f>SUMIFS('📂 Raw Data'!M2:M217,'📂 Raw Data'!B2:B217,B23)</f>
        <v>963181.92000000016</v>
      </c>
      <c r="J23" s="3"/>
    </row>
    <row r="24" spans="1:10" ht="15.75" customHeight="1" x14ac:dyDescent="0.25">
      <c r="A24" s="3"/>
      <c r="B24" s="37" t="s">
        <v>139</v>
      </c>
      <c r="C24" s="38">
        <f>SUMIFS('📂 Raw Data'!I2:I217,'📂 Raw Data'!B2:B217,B24)</f>
        <v>1228352</v>
      </c>
      <c r="D24" s="38">
        <f>SUMIFS('📂 Raw Data'!K2:K217,'📂 Raw Data'!B2:B217,B24)</f>
        <v>1086983.9600000002</v>
      </c>
      <c r="E24" s="38">
        <f>SUMIFS('📂 Raw Data'!N2:N217,'📂 Raw Data'!B2:B217,B24)</f>
        <v>13043807.469999999</v>
      </c>
      <c r="F24" s="38">
        <f>SUMIFS('📂 Raw Data'!O2:O217,'📂 Raw Data'!B2:B217,B24)</f>
        <v>1086983.9600000002</v>
      </c>
      <c r="G24" s="39">
        <f>AVERAGEIFS('📂 Raw Data'!J2:J217,'📂 Raw Data'!B2:B217,B24)</f>
        <v>0.11632222222222222</v>
      </c>
      <c r="H24" s="38">
        <f>SUMIFS('📂 Raw Data'!L2:L217,'📂 Raw Data'!B2:B217,B24)</f>
        <v>57337.279999999999</v>
      </c>
      <c r="I24" s="40">
        <f>SUMIFS('📂 Raw Data'!M2:M217,'📂 Raw Data'!B2:B217,B24)</f>
        <v>1144321.23</v>
      </c>
      <c r="J24" s="3"/>
    </row>
    <row r="25" spans="1:10" ht="15.75" customHeight="1" x14ac:dyDescent="0.25">
      <c r="A25" s="3"/>
      <c r="B25" s="33" t="s">
        <v>140</v>
      </c>
      <c r="C25" s="34">
        <f>SUMIFS('📂 Raw Data'!I2:I217,'📂 Raw Data'!B2:B217,B25)</f>
        <v>1246763.0600000003</v>
      </c>
      <c r="D25" s="34">
        <f>SUMIFS('📂 Raw Data'!K2:K217,'📂 Raw Data'!B2:B217,B25)</f>
        <v>1047121.4299999999</v>
      </c>
      <c r="E25" s="34">
        <f>SUMIFS('📂 Raw Data'!N2:N217,'📂 Raw Data'!B2:B217,B25)</f>
        <v>12565457.09</v>
      </c>
      <c r="F25" s="34">
        <f>SUMIFS('📂 Raw Data'!O2:O217,'📂 Raw Data'!B2:B217,B25)</f>
        <v>1047121.4299999999</v>
      </c>
      <c r="G25" s="43">
        <f>AVERAGEIFS('📂 Raw Data'!J2:J217,'📂 Raw Data'!B2:B217,B25)</f>
        <v>0.13764444444444443</v>
      </c>
      <c r="H25" s="34">
        <f>SUMIFS('📂 Raw Data'!L2:L217,'📂 Raw Data'!B2:B217,B25)</f>
        <v>22746.700000000004</v>
      </c>
      <c r="I25" s="36">
        <f>SUMIFS('📂 Raw Data'!M2:M217,'📂 Raw Data'!B2:B217,B25)</f>
        <v>1069868.1399999999</v>
      </c>
      <c r="J25" s="3"/>
    </row>
    <row r="26" spans="1:10" ht="15.75" customHeight="1" x14ac:dyDescent="0.25">
      <c r="A26" s="3"/>
      <c r="B26" s="37" t="s">
        <v>141</v>
      </c>
      <c r="C26" s="38">
        <f>SUMIFS('📂 Raw Data'!I2:I217,'📂 Raw Data'!B2:B217,B26)</f>
        <v>1190366.32</v>
      </c>
      <c r="D26" s="38">
        <f>SUMIFS('📂 Raw Data'!K2:K217,'📂 Raw Data'!B2:B217,B26)</f>
        <v>1007024.59</v>
      </c>
      <c r="E26" s="38">
        <f>SUMIFS('📂 Raw Data'!N2:N217,'📂 Raw Data'!B2:B217,B26)</f>
        <v>12084295.209999999</v>
      </c>
      <c r="F26" s="38">
        <f>SUMIFS('📂 Raw Data'!O2:O217,'📂 Raw Data'!B2:B217,B26)</f>
        <v>1007024.59</v>
      </c>
      <c r="G26" s="41">
        <f>AVERAGEIFS('📂 Raw Data'!J2:J217,'📂 Raw Data'!B2:B217,B26)</f>
        <v>0.14804444444444445</v>
      </c>
      <c r="H26" s="38">
        <f>SUMIFS('📂 Raw Data'!L2:L217,'📂 Raw Data'!B2:B217,B26)</f>
        <v>24969.630000000005</v>
      </c>
      <c r="I26" s="40">
        <f>SUMIFS('📂 Raw Data'!M2:M217,'📂 Raw Data'!B2:B217,B26)</f>
        <v>1031994.23</v>
      </c>
      <c r="J26" s="3"/>
    </row>
    <row r="27" spans="1:10" ht="15.75" customHeight="1" x14ac:dyDescent="0.25">
      <c r="A27" s="3"/>
      <c r="B27" s="33" t="s">
        <v>142</v>
      </c>
      <c r="C27" s="34">
        <f>SUMIFS('📂 Raw Data'!I2:I217,'📂 Raw Data'!B2:B217,B27)</f>
        <v>926805.77999999991</v>
      </c>
      <c r="D27" s="34">
        <f>SUMIFS('📂 Raw Data'!K2:K217,'📂 Raw Data'!B2:B217,B27)</f>
        <v>836844.97000000009</v>
      </c>
      <c r="E27" s="34">
        <f>SUMIFS('📂 Raw Data'!N2:N217,'📂 Raw Data'!B2:B217,B27)</f>
        <v>10042139.629999999</v>
      </c>
      <c r="F27" s="34">
        <f>SUMIFS('📂 Raw Data'!O2:O217,'📂 Raw Data'!B2:B217,B27)</f>
        <v>836844.97000000009</v>
      </c>
      <c r="G27" s="35">
        <f>AVERAGEIFS('📂 Raw Data'!J2:J217,'📂 Raw Data'!B2:B217,B27)</f>
        <v>0.10924444444444442</v>
      </c>
      <c r="H27" s="34">
        <f>SUMIFS('📂 Raw Data'!L2:L217,'📂 Raw Data'!B2:B217,B27)</f>
        <v>20326.150000000001</v>
      </c>
      <c r="I27" s="36">
        <f>SUMIFS('📂 Raw Data'!M2:M217,'📂 Raw Data'!B2:B217,B27)</f>
        <v>857171.12000000011</v>
      </c>
      <c r="J27" s="3"/>
    </row>
    <row r="28" spans="1:10" ht="15.75" customHeight="1" x14ac:dyDescent="0.25">
      <c r="A28" s="3"/>
      <c r="B28" s="37" t="s">
        <v>143</v>
      </c>
      <c r="C28" s="38">
        <f>SUMIFS('📂 Raw Data'!I2:I217,'📂 Raw Data'!B2:B217,B28)</f>
        <v>829289.25000000012</v>
      </c>
      <c r="D28" s="38">
        <f>SUMIFS('📂 Raw Data'!K2:K217,'📂 Raw Data'!B2:B217,B28)</f>
        <v>741254.3600000001</v>
      </c>
      <c r="E28" s="38">
        <f>SUMIFS('📂 Raw Data'!N2:N217,'📂 Raw Data'!B2:B217,B28)</f>
        <v>8895052.459999999</v>
      </c>
      <c r="F28" s="38">
        <f>SUMIFS('📂 Raw Data'!O2:O217,'📂 Raw Data'!B2:B217,B28)</f>
        <v>741254.3600000001</v>
      </c>
      <c r="G28" s="39">
        <f>AVERAGEIFS('📂 Raw Data'!J2:J217,'📂 Raw Data'!B2:B217,B28)</f>
        <v>0.11273333333333332</v>
      </c>
      <c r="H28" s="38">
        <f>SUMIFS('📂 Raw Data'!L2:L217,'📂 Raw Data'!B2:B217,B28)</f>
        <v>59749.009999999995</v>
      </c>
      <c r="I28" s="40">
        <f>SUMIFS('📂 Raw Data'!M2:M217,'📂 Raw Data'!B2:B217,B28)</f>
        <v>801003.36</v>
      </c>
      <c r="J28" s="3"/>
    </row>
    <row r="29" spans="1:10" ht="15.75" customHeight="1" x14ac:dyDescent="0.25">
      <c r="A29" s="3"/>
      <c r="B29" s="33" t="s">
        <v>144</v>
      </c>
      <c r="C29" s="34">
        <f>SUMIFS('📂 Raw Data'!I2:I217,'📂 Raw Data'!B2:B217,B29)</f>
        <v>870892.76</v>
      </c>
      <c r="D29" s="34">
        <f>SUMIFS('📂 Raw Data'!K2:K217,'📂 Raw Data'!B2:B217,B29)</f>
        <v>812776.58</v>
      </c>
      <c r="E29" s="34">
        <f>SUMIFS('📂 Raw Data'!N2:N217,'📂 Raw Data'!B2:B217,B29)</f>
        <v>9753319.120000001</v>
      </c>
      <c r="F29" s="34">
        <f>SUMIFS('📂 Raw Data'!O2:O217,'📂 Raw Data'!B2:B217,B29)</f>
        <v>812776.58</v>
      </c>
      <c r="G29" s="35">
        <f>AVERAGEIFS('📂 Raw Data'!J2:J217,'📂 Raw Data'!B2:B217,B29)</f>
        <v>7.21888888888889E-2</v>
      </c>
      <c r="H29" s="34">
        <f>SUMIFS('📂 Raw Data'!L2:L217,'📂 Raw Data'!B2:B217,B29)</f>
        <v>638.32999999999902</v>
      </c>
      <c r="I29" s="36">
        <f>SUMIFS('📂 Raw Data'!M2:M217,'📂 Raw Data'!B2:B217,B29)</f>
        <v>813414.92000000016</v>
      </c>
      <c r="J29" s="3"/>
    </row>
    <row r="30" spans="1:10" ht="15.75" customHeight="1" x14ac:dyDescent="0.25">
      <c r="A30" s="3"/>
      <c r="B30" s="37" t="s">
        <v>145</v>
      </c>
      <c r="C30" s="38">
        <f>SUMIFS('📂 Raw Data'!I2:I217,'📂 Raw Data'!B2:B217,B30)</f>
        <v>1377227.27</v>
      </c>
      <c r="D30" s="38">
        <f>SUMIFS('📂 Raw Data'!K2:K217,'📂 Raw Data'!B2:B217,B30)</f>
        <v>1136099.4300000002</v>
      </c>
      <c r="E30" s="38">
        <f>SUMIFS('📂 Raw Data'!N2:N217,'📂 Raw Data'!B2:B217,B30)</f>
        <v>13633192.98</v>
      </c>
      <c r="F30" s="38">
        <f>SUMIFS('📂 Raw Data'!O2:O217,'📂 Raw Data'!B2:B217,B30)</f>
        <v>1136099.4300000002</v>
      </c>
      <c r="G30" s="41">
        <f>AVERAGEIFS('📂 Raw Data'!J2:J217,'📂 Raw Data'!B2:B217,B30)</f>
        <v>0.15994444444444444</v>
      </c>
      <c r="H30" s="38">
        <f>SUMIFS('📂 Raw Data'!L2:L217,'📂 Raw Data'!B2:B217,B30)</f>
        <v>68431.289999999994</v>
      </c>
      <c r="I30" s="40">
        <f>SUMIFS('📂 Raw Data'!M2:M217,'📂 Raw Data'!B2:B217,B30)</f>
        <v>1204530.7</v>
      </c>
      <c r="J30" s="3"/>
    </row>
    <row r="31" spans="1:10" ht="18" customHeight="1" x14ac:dyDescent="0.25">
      <c r="A31" s="3"/>
      <c r="B31" s="45" t="s">
        <v>146</v>
      </c>
      <c r="C31" s="46">
        <f>SUM(C7:C30)</f>
        <v>25775590.270000003</v>
      </c>
      <c r="D31" s="46">
        <f>SUM(D7:D30)</f>
        <v>22598636.269999996</v>
      </c>
      <c r="E31" s="46">
        <f>SUM(E7:E30)</f>
        <v>271183635.24000001</v>
      </c>
      <c r="F31" s="46">
        <f>SUM(F7:F30)</f>
        <v>22598636.269999996</v>
      </c>
      <c r="G31" s="47">
        <f>AVERAGE(G7:G30)</f>
        <v>0.11647175925925927</v>
      </c>
      <c r="H31" s="48">
        <f>SUM(H7:H30)</f>
        <v>631937.06999999995</v>
      </c>
      <c r="I31" s="49">
        <f>SUM(I7:I30)</f>
        <v>23230573.310000002</v>
      </c>
      <c r="J31" s="3"/>
    </row>
    <row r="32" spans="1:10" ht="1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 ht="1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 ht="15.75" customHeight="1" x14ac:dyDescent="0.25">
      <c r="A34" s="3"/>
      <c r="B34" s="132" t="s">
        <v>147</v>
      </c>
      <c r="C34" s="132"/>
      <c r="D34" s="132"/>
      <c r="E34" s="132"/>
      <c r="F34" s="132"/>
      <c r="G34" s="3"/>
      <c r="H34" s="3"/>
      <c r="I34" s="3"/>
      <c r="J34" s="3"/>
    </row>
    <row r="35" spans="1:10" ht="13.5" customHeight="1" x14ac:dyDescent="0.25">
      <c r="A35" s="3"/>
      <c r="B35" s="19" t="s">
        <v>57</v>
      </c>
      <c r="C35" s="19" t="s">
        <v>65</v>
      </c>
      <c r="D35" s="19" t="s">
        <v>62</v>
      </c>
      <c r="E35" s="19" t="s">
        <v>68</v>
      </c>
      <c r="F35" s="19" t="s">
        <v>148</v>
      </c>
      <c r="G35" s="3"/>
      <c r="H35" s="3"/>
      <c r="I35" s="3"/>
      <c r="J35" s="3"/>
    </row>
    <row r="36" spans="1:10" ht="18" customHeight="1" x14ac:dyDescent="0.25">
      <c r="A36" s="3"/>
      <c r="B36" s="9" t="s">
        <v>64</v>
      </c>
      <c r="C36" s="18">
        <f>SUMIFS('📂 Raw Data'!K2:K217,'📂 Raw Data'!C2:C217,B36,'📂 Raw Data'!D2:D217,"Product A")</f>
        <v>2473552.1300000004</v>
      </c>
      <c r="D36" s="18">
        <f>SUMIFS('📂 Raw Data'!K2:K217,'📂 Raw Data'!C2:C217,B36,'📂 Raw Data'!D2:D217,"Product B")</f>
        <v>2805772.29</v>
      </c>
      <c r="E36" s="18">
        <f>SUMIFS('📂 Raw Data'!K2:K217,'📂 Raw Data'!C2:C217,B36,'📂 Raw Data'!D2:D217,"Product C")</f>
        <v>2372200.7199999993</v>
      </c>
      <c r="F36" s="50">
        <f>SUM(C36:E36)</f>
        <v>7651525.1399999987</v>
      </c>
      <c r="G36" s="3"/>
      <c r="H36" s="3"/>
      <c r="I36" s="3"/>
      <c r="J36" s="3"/>
    </row>
    <row r="37" spans="1:10" ht="18" customHeight="1" x14ac:dyDescent="0.25">
      <c r="A37" s="3"/>
      <c r="B37" s="51" t="s">
        <v>67</v>
      </c>
      <c r="C37" s="52">
        <f>SUMIFS('📂 Raw Data'!K2:K217,'📂 Raw Data'!C2:C217,B37,'📂 Raw Data'!D2:D217,"Product A")</f>
        <v>2225581.64</v>
      </c>
      <c r="D37" s="52">
        <f>SUMIFS('📂 Raw Data'!K2:K217,'📂 Raw Data'!C2:C217,B37,'📂 Raw Data'!D2:D217,"Product B")</f>
        <v>2907763.22</v>
      </c>
      <c r="E37" s="52">
        <f>SUMIFS('📂 Raw Data'!K2:K217,'📂 Raw Data'!C2:C217,B37,'📂 Raw Data'!D2:D217,"Product C")</f>
        <v>1917078.37</v>
      </c>
      <c r="F37" s="53">
        <f>SUM(C37:E37)</f>
        <v>7050423.2300000004</v>
      </c>
      <c r="G37" s="3"/>
      <c r="H37" s="3"/>
      <c r="I37" s="3"/>
      <c r="J37" s="3"/>
    </row>
    <row r="38" spans="1:10" ht="18" customHeight="1" x14ac:dyDescent="0.25">
      <c r="A38" s="3"/>
      <c r="B38" s="9" t="s">
        <v>61</v>
      </c>
      <c r="C38" s="18">
        <f>SUMIFS('📂 Raw Data'!K2:K217,'📂 Raw Data'!C2:C217,B38,'📂 Raw Data'!D2:D217,"Product A")</f>
        <v>2657990.35</v>
      </c>
      <c r="D38" s="18">
        <f>SUMIFS('📂 Raw Data'!K2:K217,'📂 Raw Data'!C2:C217,B38,'📂 Raw Data'!D2:D217,"Product B")</f>
        <v>2820177.61</v>
      </c>
      <c r="E38" s="18">
        <f>SUMIFS('📂 Raw Data'!K2:K217,'📂 Raw Data'!C2:C217,B38,'📂 Raw Data'!D2:D217,"Product C")</f>
        <v>2418519.94</v>
      </c>
      <c r="F38" s="50">
        <f>SUM(C38:E38)</f>
        <v>7896687.9000000004</v>
      </c>
      <c r="G38" s="3"/>
      <c r="H38" s="3"/>
      <c r="I38" s="3"/>
      <c r="J38" s="3"/>
    </row>
    <row r="39" spans="1:10" ht="1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 ht="1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 ht="1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 ht="1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 ht="1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 ht="1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 ht="1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 ht="1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 ht="1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 ht="1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 ht="1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 ht="1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 ht="1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 ht="1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 ht="1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 ht="1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 ht="1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 ht="1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 ht="1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 ht="1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 ht="1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 ht="1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 ht="1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 ht="1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 ht="1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 ht="1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 ht="1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 ht="1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 ht="1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 ht="1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 ht="1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 ht="1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 ht="1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 ht="1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 ht="1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 ht="1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 ht="1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 ht="1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 ht="1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 ht="1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 ht="1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 ht="1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 ht="1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 ht="1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 ht="1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 ht="1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 ht="1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 ht="1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 ht="1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 ht="1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 ht="1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 ht="1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 ht="1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ht="1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 ht="1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 ht="1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 ht="1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 ht="1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 ht="1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 ht="1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</row>
  </sheetData>
  <mergeCells count="3">
    <mergeCell ref="B2:I2"/>
    <mergeCell ref="B5:I5"/>
    <mergeCell ref="B34:F34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6" tint="0.59999389629810485"/>
  </sheetPr>
  <dimension ref="A1:G79"/>
  <sheetViews>
    <sheetView showGridLines="0" topLeftCell="A2" zoomScaleNormal="100" workbookViewId="0">
      <selection activeCell="B21" sqref="B21"/>
    </sheetView>
  </sheetViews>
  <sheetFormatPr defaultColWidth="8.7109375" defaultRowHeight="15" x14ac:dyDescent="0.25"/>
  <cols>
    <col min="1" max="1" width="3" customWidth="1"/>
    <col min="2" max="2" width="22" customWidth="1"/>
    <col min="3" max="3" width="28" customWidth="1"/>
    <col min="4" max="4" width="22" customWidth="1"/>
    <col min="5" max="5" width="28" customWidth="1"/>
    <col min="6" max="6" width="22" customWidth="1"/>
    <col min="7" max="7" width="19.42578125" customWidth="1"/>
  </cols>
  <sheetData>
    <row r="1" spans="1:7" ht="15" customHeight="1" x14ac:dyDescent="0.25">
      <c r="A1" s="3"/>
      <c r="B1" s="3"/>
      <c r="C1" s="3"/>
      <c r="D1" s="3"/>
      <c r="E1" s="3"/>
      <c r="F1" s="3"/>
      <c r="G1" s="3"/>
    </row>
    <row r="2" spans="1:7" ht="31.5" customHeight="1" x14ac:dyDescent="0.25">
      <c r="A2" s="3"/>
      <c r="B2" s="139" t="s">
        <v>154</v>
      </c>
      <c r="C2" s="139"/>
      <c r="D2" s="139"/>
      <c r="E2" s="139"/>
      <c r="F2" s="139"/>
      <c r="G2" s="3"/>
    </row>
    <row r="3" spans="1:7" ht="3" customHeight="1" x14ac:dyDescent="0.25">
      <c r="A3" s="3"/>
      <c r="B3" s="4"/>
      <c r="C3" s="4"/>
      <c r="D3" s="4"/>
      <c r="E3" s="4"/>
      <c r="F3" s="4"/>
      <c r="G3" s="3"/>
    </row>
    <row r="4" spans="1:7" ht="15" customHeight="1" x14ac:dyDescent="0.25">
      <c r="A4" s="3"/>
      <c r="B4" s="3"/>
      <c r="C4" s="3"/>
      <c r="D4" s="3"/>
      <c r="E4" s="3"/>
      <c r="F4" s="3"/>
      <c r="G4" s="3"/>
    </row>
    <row r="5" spans="1:7" ht="13.5" customHeight="1" x14ac:dyDescent="0.25">
      <c r="A5" s="3"/>
      <c r="B5" s="32" t="s">
        <v>155</v>
      </c>
      <c r="C5" s="32" t="s">
        <v>156</v>
      </c>
      <c r="D5" s="32" t="s">
        <v>157</v>
      </c>
      <c r="E5" s="32" t="s">
        <v>158</v>
      </c>
      <c r="F5" s="32" t="s">
        <v>159</v>
      </c>
      <c r="G5" s="3"/>
    </row>
    <row r="6" spans="1:7" ht="43.5" customHeight="1" x14ac:dyDescent="0.25">
      <c r="A6" s="3"/>
      <c r="B6" s="88" t="s">
        <v>58</v>
      </c>
      <c r="C6" s="89" t="s">
        <v>160</v>
      </c>
      <c r="D6" s="90" t="s">
        <v>161</v>
      </c>
      <c r="E6" s="91" t="s">
        <v>162</v>
      </c>
      <c r="F6" s="89" t="s">
        <v>163</v>
      </c>
      <c r="G6" s="3"/>
    </row>
    <row r="7" spans="1:7" ht="43.5" customHeight="1" x14ac:dyDescent="0.25">
      <c r="A7" s="3"/>
      <c r="B7" s="92" t="s">
        <v>116</v>
      </c>
      <c r="C7" s="93" t="s">
        <v>164</v>
      </c>
      <c r="D7" s="94" t="s">
        <v>165</v>
      </c>
      <c r="E7" s="95" t="s">
        <v>166</v>
      </c>
      <c r="F7" s="93" t="s">
        <v>167</v>
      </c>
      <c r="G7" s="3"/>
    </row>
    <row r="8" spans="1:7" ht="43.5" customHeight="1" x14ac:dyDescent="0.25">
      <c r="A8" s="3"/>
      <c r="B8" s="88" t="s">
        <v>168</v>
      </c>
      <c r="C8" s="89" t="s">
        <v>169</v>
      </c>
      <c r="D8" s="90" t="s">
        <v>170</v>
      </c>
      <c r="E8" s="91" t="s">
        <v>171</v>
      </c>
      <c r="F8" s="89" t="s">
        <v>11</v>
      </c>
      <c r="G8" s="3"/>
    </row>
    <row r="9" spans="1:7" ht="43.5" customHeight="1" x14ac:dyDescent="0.25">
      <c r="A9" s="3"/>
      <c r="B9" s="92" t="s">
        <v>172</v>
      </c>
      <c r="C9" s="93" t="s">
        <v>173</v>
      </c>
      <c r="D9" s="94" t="s">
        <v>174</v>
      </c>
      <c r="E9" s="95" t="s">
        <v>175</v>
      </c>
      <c r="F9" s="93" t="s">
        <v>17</v>
      </c>
      <c r="G9" s="3"/>
    </row>
    <row r="10" spans="1:7" ht="43.5" customHeight="1" x14ac:dyDescent="0.25">
      <c r="A10" s="3"/>
      <c r="B10" s="88" t="s">
        <v>176</v>
      </c>
      <c r="C10" s="89" t="s">
        <v>177</v>
      </c>
      <c r="D10" s="90" t="s">
        <v>178</v>
      </c>
      <c r="E10" s="91" t="s">
        <v>179</v>
      </c>
      <c r="F10" s="89" t="s">
        <v>180</v>
      </c>
      <c r="G10" s="3"/>
    </row>
    <row r="11" spans="1:7" ht="43.5" customHeight="1" x14ac:dyDescent="0.25">
      <c r="A11" s="3"/>
      <c r="B11" s="92" t="s">
        <v>181</v>
      </c>
      <c r="C11" s="93" t="s">
        <v>182</v>
      </c>
      <c r="D11" s="94" t="s">
        <v>183</v>
      </c>
      <c r="E11" s="95" t="s">
        <v>184</v>
      </c>
      <c r="F11" s="93" t="s">
        <v>185</v>
      </c>
      <c r="G11" s="3"/>
    </row>
    <row r="12" spans="1:7" ht="43.5" customHeight="1" x14ac:dyDescent="0.25">
      <c r="A12" s="3"/>
      <c r="B12" s="88" t="s">
        <v>186</v>
      </c>
      <c r="C12" s="89" t="s">
        <v>187</v>
      </c>
      <c r="D12" s="90" t="s">
        <v>188</v>
      </c>
      <c r="E12" s="91" t="s">
        <v>189</v>
      </c>
      <c r="F12" s="89" t="s">
        <v>185</v>
      </c>
      <c r="G12" s="3"/>
    </row>
    <row r="13" spans="1:7" ht="43.5" customHeight="1" x14ac:dyDescent="0.25">
      <c r="A13" s="3"/>
      <c r="B13" s="92" t="s">
        <v>190</v>
      </c>
      <c r="C13" s="93" t="s">
        <v>191</v>
      </c>
      <c r="D13" s="94" t="s">
        <v>192</v>
      </c>
      <c r="E13" s="95" t="s">
        <v>193</v>
      </c>
      <c r="F13" s="93" t="s">
        <v>194</v>
      </c>
      <c r="G13" s="3"/>
    </row>
    <row r="14" spans="1:7" ht="15" customHeight="1" x14ac:dyDescent="0.25">
      <c r="A14" s="3"/>
      <c r="B14" s="3"/>
      <c r="C14" s="3"/>
      <c r="D14" s="3"/>
      <c r="E14" s="3"/>
      <c r="F14" s="3"/>
      <c r="G14" s="3"/>
    </row>
    <row r="15" spans="1:7" ht="15" customHeight="1" x14ac:dyDescent="0.25">
      <c r="A15" s="3"/>
      <c r="B15" s="3"/>
      <c r="C15" s="3"/>
      <c r="D15" s="3"/>
      <c r="E15" s="3"/>
      <c r="F15" s="3"/>
      <c r="G15" s="3"/>
    </row>
    <row r="16" spans="1:7" ht="15" customHeight="1" x14ac:dyDescent="0.25">
      <c r="A16" s="3"/>
      <c r="B16" s="3"/>
      <c r="C16" s="3"/>
      <c r="D16" s="3"/>
      <c r="E16" s="3"/>
      <c r="F16" s="3"/>
      <c r="G16" s="3"/>
    </row>
    <row r="17" spans="1:7" ht="15.75" customHeight="1" x14ac:dyDescent="0.25">
      <c r="A17" s="3"/>
      <c r="B17" s="132" t="s">
        <v>195</v>
      </c>
      <c r="C17" s="132"/>
      <c r="D17" s="132"/>
      <c r="E17" s="132"/>
      <c r="F17" s="132"/>
      <c r="G17" s="3"/>
    </row>
    <row r="18" spans="1:7" ht="13.5" customHeight="1" x14ac:dyDescent="0.25">
      <c r="A18" s="3"/>
      <c r="B18" s="19" t="s">
        <v>196</v>
      </c>
      <c r="C18" s="19" t="s">
        <v>197</v>
      </c>
      <c r="D18" s="19" t="s">
        <v>198</v>
      </c>
      <c r="E18" s="19" t="s">
        <v>199</v>
      </c>
      <c r="F18" s="19" t="s">
        <v>200</v>
      </c>
      <c r="G18" s="19" t="s">
        <v>201</v>
      </c>
    </row>
    <row r="19" spans="1:7" ht="18" customHeight="1" x14ac:dyDescent="0.25">
      <c r="A19" s="3"/>
      <c r="B19" s="59" t="s">
        <v>58</v>
      </c>
      <c r="C19" s="60" t="s">
        <v>202</v>
      </c>
      <c r="D19" s="60" t="s">
        <v>202</v>
      </c>
      <c r="E19" s="60" t="s">
        <v>202</v>
      </c>
      <c r="F19" s="60" t="s">
        <v>202</v>
      </c>
      <c r="G19" s="60" t="s">
        <v>202</v>
      </c>
    </row>
    <row r="20" spans="1:7" ht="18" customHeight="1" x14ac:dyDescent="0.25">
      <c r="A20" s="3"/>
      <c r="B20" s="61" t="s">
        <v>116</v>
      </c>
      <c r="C20" s="62" t="s">
        <v>203</v>
      </c>
      <c r="D20" s="63" t="s">
        <v>202</v>
      </c>
      <c r="E20" s="63" t="s">
        <v>202</v>
      </c>
      <c r="F20" s="62" t="s">
        <v>203</v>
      </c>
      <c r="G20" s="62" t="s">
        <v>203</v>
      </c>
    </row>
    <row r="21" spans="1:7" ht="18" customHeight="1" x14ac:dyDescent="0.25">
      <c r="A21" s="3"/>
      <c r="B21" s="59" t="s">
        <v>117</v>
      </c>
      <c r="C21" s="60" t="s">
        <v>202</v>
      </c>
      <c r="D21" s="60" t="s">
        <v>202</v>
      </c>
      <c r="E21" s="60" t="s">
        <v>202</v>
      </c>
      <c r="F21" s="64" t="s">
        <v>203</v>
      </c>
      <c r="G21" s="60" t="s">
        <v>202</v>
      </c>
    </row>
    <row r="22" spans="1:7" ht="18" customHeight="1" x14ac:dyDescent="0.25">
      <c r="A22" s="3"/>
      <c r="B22" s="61" t="s">
        <v>118</v>
      </c>
      <c r="C22" s="62" t="s">
        <v>203</v>
      </c>
      <c r="D22" s="63" t="s">
        <v>202</v>
      </c>
      <c r="E22" s="63" t="s">
        <v>202</v>
      </c>
      <c r="F22" s="63" t="s">
        <v>202</v>
      </c>
      <c r="G22" s="62" t="s">
        <v>203</v>
      </c>
    </row>
    <row r="23" spans="1:7" ht="18" customHeight="1" x14ac:dyDescent="0.25">
      <c r="A23" s="3"/>
      <c r="B23" s="59" t="s">
        <v>176</v>
      </c>
      <c r="C23" s="64" t="s">
        <v>203</v>
      </c>
      <c r="D23" s="60" t="s">
        <v>202</v>
      </c>
      <c r="E23" s="60" t="s">
        <v>202</v>
      </c>
      <c r="F23" s="60" t="s">
        <v>202</v>
      </c>
      <c r="G23" s="65" t="s">
        <v>204</v>
      </c>
    </row>
    <row r="24" spans="1:7" ht="18" customHeight="1" x14ac:dyDescent="0.25">
      <c r="A24" s="3"/>
      <c r="B24" s="61" t="s">
        <v>205</v>
      </c>
      <c r="C24" s="62" t="s">
        <v>203</v>
      </c>
      <c r="D24" s="63" t="s">
        <v>202</v>
      </c>
      <c r="E24" s="63" t="s">
        <v>202</v>
      </c>
      <c r="F24" s="62" t="s">
        <v>203</v>
      </c>
      <c r="G24" s="66" t="s">
        <v>204</v>
      </c>
    </row>
    <row r="25" spans="1:7" ht="18" customHeight="1" x14ac:dyDescent="0.25">
      <c r="A25" s="3"/>
      <c r="B25" s="59" t="s">
        <v>121</v>
      </c>
      <c r="C25" s="64" t="s">
        <v>203</v>
      </c>
      <c r="D25" s="60" t="s">
        <v>202</v>
      </c>
      <c r="E25" s="60" t="s">
        <v>202</v>
      </c>
      <c r="F25" s="64" t="s">
        <v>203</v>
      </c>
      <c r="G25" s="64" t="s">
        <v>203</v>
      </c>
    </row>
    <row r="26" spans="1:7" ht="18" customHeight="1" x14ac:dyDescent="0.25">
      <c r="A26" s="3"/>
      <c r="B26" s="61" t="s">
        <v>190</v>
      </c>
      <c r="C26" s="63" t="s">
        <v>202</v>
      </c>
      <c r="D26" s="63" t="s">
        <v>202</v>
      </c>
      <c r="E26" s="63" t="s">
        <v>202</v>
      </c>
      <c r="F26" s="63" t="s">
        <v>202</v>
      </c>
      <c r="G26" s="63" t="s">
        <v>202</v>
      </c>
    </row>
    <row r="27" spans="1:7" ht="15" customHeight="1" x14ac:dyDescent="0.25">
      <c r="A27" s="3"/>
      <c r="B27" s="3"/>
      <c r="C27" s="3"/>
      <c r="D27" s="3"/>
      <c r="E27" s="3"/>
      <c r="F27" s="3"/>
      <c r="G27" s="3"/>
    </row>
    <row r="28" spans="1:7" ht="15" customHeight="1" x14ac:dyDescent="0.25">
      <c r="A28" s="3"/>
      <c r="B28" s="3"/>
      <c r="C28" s="3"/>
      <c r="D28" s="3"/>
      <c r="E28" s="3"/>
      <c r="F28" s="3"/>
      <c r="G28" s="3"/>
    </row>
    <row r="29" spans="1:7" ht="15" customHeight="1" x14ac:dyDescent="0.25">
      <c r="A29" s="3"/>
      <c r="B29" s="3"/>
      <c r="C29" s="3"/>
      <c r="D29" s="3"/>
      <c r="E29" s="3"/>
      <c r="F29" s="3"/>
      <c r="G29" s="3"/>
    </row>
    <row r="30" spans="1:7" ht="15" customHeight="1" x14ac:dyDescent="0.25">
      <c r="A30" s="3"/>
      <c r="B30" s="3"/>
      <c r="C30" s="3"/>
      <c r="D30" s="3"/>
      <c r="E30" s="3"/>
      <c r="F30" s="3"/>
      <c r="G30" s="3"/>
    </row>
    <row r="31" spans="1:7" ht="15" customHeight="1" x14ac:dyDescent="0.25">
      <c r="A31" s="3"/>
      <c r="B31" s="3"/>
      <c r="C31" s="3"/>
      <c r="D31" s="3"/>
      <c r="E31" s="3"/>
      <c r="F31" s="3"/>
      <c r="G31" s="3"/>
    </row>
    <row r="32" spans="1:7" ht="15" customHeight="1" x14ac:dyDescent="0.25">
      <c r="A32" s="3"/>
      <c r="B32" s="3"/>
      <c r="C32" s="3"/>
      <c r="D32" s="3"/>
      <c r="E32" s="3"/>
      <c r="F32" s="3"/>
      <c r="G32" s="3"/>
    </row>
    <row r="33" spans="1:7" ht="15" customHeight="1" x14ac:dyDescent="0.25">
      <c r="A33" s="3"/>
      <c r="B33" s="3"/>
      <c r="C33" s="3"/>
      <c r="D33" s="3"/>
      <c r="E33" s="3"/>
      <c r="F33" s="3"/>
      <c r="G33" s="3"/>
    </row>
    <row r="34" spans="1:7" ht="15" customHeight="1" x14ac:dyDescent="0.25">
      <c r="A34" s="3"/>
      <c r="B34" s="3"/>
      <c r="C34" s="3"/>
      <c r="D34" s="3"/>
      <c r="E34" s="3"/>
      <c r="F34" s="3"/>
      <c r="G34" s="3"/>
    </row>
    <row r="35" spans="1:7" ht="15" customHeight="1" x14ac:dyDescent="0.25">
      <c r="A35" s="3"/>
      <c r="B35" s="3"/>
      <c r="C35" s="3"/>
      <c r="D35" s="3"/>
      <c r="E35" s="3"/>
      <c r="F35" s="3"/>
      <c r="G35" s="3"/>
    </row>
    <row r="36" spans="1:7" ht="15" customHeight="1" x14ac:dyDescent="0.25">
      <c r="A36" s="3"/>
      <c r="B36" s="3"/>
      <c r="C36" s="3"/>
      <c r="D36" s="3"/>
      <c r="E36" s="3"/>
      <c r="F36" s="3"/>
      <c r="G36" s="3"/>
    </row>
    <row r="37" spans="1:7" ht="15" customHeight="1" x14ac:dyDescent="0.25">
      <c r="A37" s="3"/>
      <c r="B37" s="3"/>
      <c r="C37" s="3"/>
      <c r="D37" s="3"/>
      <c r="E37" s="3"/>
      <c r="F37" s="3"/>
      <c r="G37" s="3"/>
    </row>
    <row r="38" spans="1:7" ht="15" customHeight="1" x14ac:dyDescent="0.25">
      <c r="A38" s="3"/>
      <c r="B38" s="3"/>
      <c r="C38" s="3"/>
      <c r="D38" s="3"/>
      <c r="E38" s="3"/>
      <c r="F38" s="3"/>
      <c r="G38" s="3"/>
    </row>
    <row r="39" spans="1:7" ht="15" customHeight="1" x14ac:dyDescent="0.25">
      <c r="A39" s="3"/>
      <c r="B39" s="3"/>
      <c r="C39" s="3"/>
      <c r="D39" s="3"/>
      <c r="E39" s="3"/>
      <c r="F39" s="3"/>
      <c r="G39" s="3"/>
    </row>
    <row r="40" spans="1:7" ht="15" customHeight="1" x14ac:dyDescent="0.25">
      <c r="A40" s="3"/>
      <c r="B40" s="3"/>
      <c r="C40" s="3"/>
      <c r="D40" s="3"/>
      <c r="E40" s="3"/>
      <c r="F40" s="3"/>
      <c r="G40" s="3"/>
    </row>
    <row r="41" spans="1:7" ht="15" customHeight="1" x14ac:dyDescent="0.25">
      <c r="A41" s="3"/>
      <c r="B41" s="3"/>
      <c r="C41" s="3"/>
      <c r="D41" s="3"/>
      <c r="E41" s="3"/>
      <c r="F41" s="3"/>
      <c r="G41" s="3"/>
    </row>
    <row r="42" spans="1:7" ht="15" customHeight="1" x14ac:dyDescent="0.25">
      <c r="A42" s="3"/>
      <c r="B42" s="3"/>
      <c r="C42" s="3"/>
      <c r="D42" s="3"/>
      <c r="E42" s="3"/>
      <c r="F42" s="3"/>
      <c r="G42" s="3"/>
    </row>
    <row r="43" spans="1:7" ht="15" customHeight="1" x14ac:dyDescent="0.25">
      <c r="A43" s="3"/>
      <c r="B43" s="3"/>
      <c r="C43" s="3"/>
      <c r="D43" s="3"/>
      <c r="E43" s="3"/>
      <c r="F43" s="3"/>
      <c r="G43" s="3"/>
    </row>
    <row r="44" spans="1:7" ht="15" customHeight="1" x14ac:dyDescent="0.25">
      <c r="A44" s="3"/>
      <c r="B44" s="3"/>
      <c r="C44" s="3"/>
      <c r="D44" s="3"/>
      <c r="E44" s="3"/>
      <c r="F44" s="3"/>
      <c r="G44" s="3"/>
    </row>
    <row r="45" spans="1:7" ht="15" customHeight="1" x14ac:dyDescent="0.25">
      <c r="A45" s="3"/>
      <c r="B45" s="3"/>
      <c r="C45" s="3"/>
      <c r="D45" s="3"/>
      <c r="E45" s="3"/>
      <c r="F45" s="3"/>
      <c r="G45" s="3"/>
    </row>
    <row r="46" spans="1:7" ht="15" customHeight="1" x14ac:dyDescent="0.25">
      <c r="A46" s="3"/>
      <c r="B46" s="3"/>
      <c r="C46" s="3"/>
      <c r="D46" s="3"/>
      <c r="E46" s="3"/>
      <c r="F46" s="3"/>
      <c r="G46" s="3"/>
    </row>
    <row r="47" spans="1:7" ht="15" customHeight="1" x14ac:dyDescent="0.25">
      <c r="A47" s="3"/>
      <c r="B47" s="3"/>
      <c r="C47" s="3"/>
      <c r="D47" s="3"/>
      <c r="E47" s="3"/>
      <c r="F47" s="3"/>
      <c r="G47" s="3"/>
    </row>
    <row r="48" spans="1:7" ht="15" customHeight="1" x14ac:dyDescent="0.25">
      <c r="A48" s="3"/>
      <c r="B48" s="3"/>
      <c r="C48" s="3"/>
      <c r="D48" s="3"/>
      <c r="E48" s="3"/>
      <c r="F48" s="3"/>
      <c r="G48" s="3"/>
    </row>
    <row r="49" spans="1:7" ht="15" customHeight="1" x14ac:dyDescent="0.25">
      <c r="A49" s="3"/>
      <c r="B49" s="3"/>
      <c r="C49" s="3"/>
      <c r="D49" s="3"/>
      <c r="E49" s="3"/>
      <c r="F49" s="3"/>
      <c r="G49" s="3"/>
    </row>
    <row r="50" spans="1:7" ht="15" customHeight="1" x14ac:dyDescent="0.25">
      <c r="A50" s="3"/>
      <c r="B50" s="3"/>
      <c r="C50" s="3"/>
      <c r="D50" s="3"/>
      <c r="E50" s="3"/>
      <c r="F50" s="3"/>
      <c r="G50" s="3"/>
    </row>
    <row r="51" spans="1:7" ht="15" customHeight="1" x14ac:dyDescent="0.25">
      <c r="A51" s="3"/>
      <c r="B51" s="3"/>
      <c r="C51" s="3"/>
      <c r="D51" s="3"/>
      <c r="E51" s="3"/>
      <c r="F51" s="3"/>
      <c r="G51" s="3"/>
    </row>
    <row r="52" spans="1:7" ht="15" customHeight="1" x14ac:dyDescent="0.25">
      <c r="A52" s="3"/>
      <c r="B52" s="3"/>
      <c r="C52" s="3"/>
      <c r="D52" s="3"/>
      <c r="E52" s="3"/>
      <c r="F52" s="3"/>
      <c r="G52" s="3"/>
    </row>
    <row r="53" spans="1:7" ht="15" customHeight="1" x14ac:dyDescent="0.25">
      <c r="A53" s="3"/>
      <c r="B53" s="3"/>
      <c r="C53" s="3"/>
      <c r="D53" s="3"/>
      <c r="E53" s="3"/>
      <c r="F53" s="3"/>
      <c r="G53" s="3"/>
    </row>
    <row r="54" spans="1:7" ht="15" customHeight="1" x14ac:dyDescent="0.25">
      <c r="A54" s="3"/>
      <c r="B54" s="3"/>
      <c r="C54" s="3"/>
      <c r="D54" s="3"/>
      <c r="E54" s="3"/>
      <c r="F54" s="3"/>
      <c r="G54" s="3"/>
    </row>
    <row r="55" spans="1:7" ht="15" customHeight="1" x14ac:dyDescent="0.25">
      <c r="A55" s="3"/>
      <c r="B55" s="3"/>
      <c r="C55" s="3"/>
      <c r="D55" s="3"/>
      <c r="E55" s="3"/>
      <c r="F55" s="3"/>
      <c r="G55" s="3"/>
    </row>
    <row r="56" spans="1:7" ht="15" customHeight="1" x14ac:dyDescent="0.25">
      <c r="A56" s="3"/>
      <c r="B56" s="3"/>
      <c r="C56" s="3"/>
      <c r="D56" s="3"/>
      <c r="E56" s="3"/>
      <c r="F56" s="3"/>
      <c r="G56" s="3"/>
    </row>
    <row r="57" spans="1:7" ht="15" customHeight="1" x14ac:dyDescent="0.25">
      <c r="A57" s="3"/>
      <c r="B57" s="3"/>
      <c r="C57" s="3"/>
      <c r="D57" s="3"/>
      <c r="E57" s="3"/>
      <c r="F57" s="3"/>
      <c r="G57" s="3"/>
    </row>
    <row r="58" spans="1:7" ht="15" customHeight="1" x14ac:dyDescent="0.25">
      <c r="A58" s="3"/>
      <c r="B58" s="3"/>
      <c r="C58" s="3"/>
      <c r="D58" s="3"/>
      <c r="E58" s="3"/>
      <c r="F58" s="3"/>
      <c r="G58" s="3"/>
    </row>
    <row r="59" spans="1:7" ht="15" customHeight="1" x14ac:dyDescent="0.25">
      <c r="A59" s="3"/>
      <c r="B59" s="3"/>
      <c r="C59" s="3"/>
      <c r="D59" s="3"/>
      <c r="E59" s="3"/>
      <c r="F59" s="3"/>
      <c r="G59" s="3"/>
    </row>
    <row r="60" spans="1:7" ht="15" customHeight="1" x14ac:dyDescent="0.25">
      <c r="A60" s="3"/>
      <c r="B60" s="3"/>
      <c r="C60" s="3"/>
      <c r="D60" s="3"/>
      <c r="E60" s="3"/>
      <c r="F60" s="3"/>
      <c r="G60" s="3"/>
    </row>
    <row r="61" spans="1:7" ht="15" customHeight="1" x14ac:dyDescent="0.25">
      <c r="A61" s="3"/>
      <c r="B61" s="3"/>
      <c r="C61" s="3"/>
      <c r="D61" s="3"/>
      <c r="E61" s="3"/>
      <c r="F61" s="3"/>
      <c r="G61" s="3"/>
    </row>
    <row r="62" spans="1:7" ht="15" customHeight="1" x14ac:dyDescent="0.25">
      <c r="A62" s="3"/>
      <c r="B62" s="3"/>
      <c r="C62" s="3"/>
      <c r="D62" s="3"/>
      <c r="E62" s="3"/>
      <c r="F62" s="3"/>
      <c r="G62" s="3"/>
    </row>
    <row r="63" spans="1:7" ht="15" customHeight="1" x14ac:dyDescent="0.25">
      <c r="A63" s="3"/>
      <c r="B63" s="3"/>
      <c r="C63" s="3"/>
      <c r="D63" s="3"/>
      <c r="E63" s="3"/>
      <c r="F63" s="3"/>
      <c r="G63" s="3"/>
    </row>
    <row r="64" spans="1:7" ht="15" customHeight="1" x14ac:dyDescent="0.25">
      <c r="A64" s="3"/>
      <c r="B64" s="3"/>
      <c r="C64" s="3"/>
      <c r="D64" s="3"/>
      <c r="E64" s="3"/>
      <c r="F64" s="3"/>
      <c r="G64" s="3"/>
    </row>
    <row r="65" spans="1:7" ht="15" customHeight="1" x14ac:dyDescent="0.25">
      <c r="A65" s="3"/>
      <c r="B65" s="3"/>
      <c r="C65" s="3"/>
      <c r="D65" s="3"/>
      <c r="E65" s="3"/>
      <c r="F65" s="3"/>
      <c r="G65" s="3"/>
    </row>
    <row r="66" spans="1:7" ht="15" customHeight="1" x14ac:dyDescent="0.25">
      <c r="A66" s="3"/>
      <c r="B66" s="3"/>
      <c r="C66" s="3"/>
      <c r="D66" s="3"/>
      <c r="E66" s="3"/>
      <c r="F66" s="3"/>
      <c r="G66" s="3"/>
    </row>
    <row r="67" spans="1:7" ht="15" customHeight="1" x14ac:dyDescent="0.25">
      <c r="A67" s="3"/>
      <c r="B67" s="3"/>
      <c r="C67" s="3"/>
      <c r="D67" s="3"/>
      <c r="E67" s="3"/>
      <c r="F67" s="3"/>
      <c r="G67" s="3"/>
    </row>
    <row r="68" spans="1:7" ht="15" customHeight="1" x14ac:dyDescent="0.25">
      <c r="A68" s="3"/>
      <c r="B68" s="3"/>
      <c r="C68" s="3"/>
      <c r="D68" s="3"/>
      <c r="E68" s="3"/>
      <c r="F68" s="3"/>
      <c r="G68" s="3"/>
    </row>
    <row r="69" spans="1:7" ht="15" customHeight="1" x14ac:dyDescent="0.25">
      <c r="A69" s="3"/>
      <c r="B69" s="3"/>
      <c r="C69" s="3"/>
      <c r="D69" s="3"/>
      <c r="E69" s="3"/>
      <c r="F69" s="3"/>
      <c r="G69" s="3"/>
    </row>
    <row r="70" spans="1:7" ht="15" customHeight="1" x14ac:dyDescent="0.25">
      <c r="A70" s="3"/>
      <c r="B70" s="3"/>
      <c r="C70" s="3"/>
      <c r="D70" s="3"/>
      <c r="E70" s="3"/>
      <c r="F70" s="3"/>
      <c r="G70" s="3"/>
    </row>
    <row r="71" spans="1:7" ht="15" customHeight="1" x14ac:dyDescent="0.25">
      <c r="A71" s="3"/>
      <c r="B71" s="3"/>
      <c r="C71" s="3"/>
      <c r="D71" s="3"/>
      <c r="E71" s="3"/>
      <c r="F71" s="3"/>
      <c r="G71" s="3"/>
    </row>
    <row r="72" spans="1:7" ht="15" customHeight="1" x14ac:dyDescent="0.25">
      <c r="A72" s="3"/>
      <c r="B72" s="3"/>
      <c r="C72" s="3"/>
      <c r="D72" s="3"/>
      <c r="E72" s="3"/>
      <c r="F72" s="3"/>
      <c r="G72" s="3"/>
    </row>
    <row r="73" spans="1:7" ht="15" customHeight="1" x14ac:dyDescent="0.25">
      <c r="A73" s="3"/>
      <c r="B73" s="3"/>
      <c r="C73" s="3"/>
      <c r="D73" s="3"/>
      <c r="E73" s="3"/>
      <c r="F73" s="3"/>
      <c r="G73" s="3"/>
    </row>
    <row r="74" spans="1:7" ht="15" customHeight="1" x14ac:dyDescent="0.25">
      <c r="A74" s="3"/>
      <c r="B74" s="3"/>
      <c r="C74" s="3"/>
      <c r="D74" s="3"/>
      <c r="E74" s="3"/>
      <c r="F74" s="3"/>
      <c r="G74" s="3"/>
    </row>
    <row r="75" spans="1:7" ht="15" customHeight="1" x14ac:dyDescent="0.25">
      <c r="A75" s="3"/>
      <c r="B75" s="3"/>
      <c r="C75" s="3"/>
      <c r="D75" s="3"/>
      <c r="E75" s="3"/>
      <c r="F75" s="3"/>
      <c r="G75" s="3"/>
    </row>
    <row r="76" spans="1:7" ht="15" customHeight="1" x14ac:dyDescent="0.25">
      <c r="A76" s="3"/>
      <c r="B76" s="3"/>
      <c r="C76" s="3"/>
      <c r="D76" s="3"/>
      <c r="E76" s="3"/>
      <c r="F76" s="3"/>
      <c r="G76" s="3"/>
    </row>
    <row r="77" spans="1:7" ht="15" customHeight="1" x14ac:dyDescent="0.25">
      <c r="A77" s="3"/>
      <c r="B77" s="3"/>
      <c r="C77" s="3"/>
      <c r="D77" s="3"/>
      <c r="E77" s="3"/>
      <c r="F77" s="3"/>
      <c r="G77" s="3"/>
    </row>
    <row r="78" spans="1:7" ht="15" customHeight="1" x14ac:dyDescent="0.25">
      <c r="A78" s="3"/>
      <c r="B78" s="3"/>
      <c r="C78" s="3"/>
      <c r="D78" s="3"/>
      <c r="E78" s="3"/>
      <c r="F78" s="3"/>
      <c r="G78" s="3"/>
    </row>
    <row r="79" spans="1:7" ht="15" customHeight="1" x14ac:dyDescent="0.25">
      <c r="A79" s="3"/>
      <c r="B79" s="3"/>
      <c r="C79" s="3"/>
      <c r="D79" s="3"/>
      <c r="E79" s="3"/>
      <c r="F79" s="3"/>
      <c r="G79" s="3"/>
    </row>
  </sheetData>
  <mergeCells count="2">
    <mergeCell ref="B2:F2"/>
    <mergeCell ref="B17:F17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6" tint="0.59999389629810485"/>
  </sheetPr>
  <dimension ref="A1:G59"/>
  <sheetViews>
    <sheetView showGridLines="0" zoomScaleNormal="100" workbookViewId="0">
      <pane xSplit="1" ySplit="6" topLeftCell="B15" activePane="bottomRight" state="frozen"/>
      <selection activeCell="B21" sqref="B21"/>
      <selection pane="topRight" activeCell="B21" sqref="B21"/>
      <selection pane="bottomLeft" activeCell="B21" sqref="B21"/>
      <selection pane="bottomRight" activeCell="B21" sqref="B21"/>
    </sheetView>
  </sheetViews>
  <sheetFormatPr defaultColWidth="8.7109375" defaultRowHeight="15" x14ac:dyDescent="0.25"/>
  <cols>
    <col min="1" max="1" width="3" customWidth="1"/>
    <col min="2" max="2" width="28" customWidth="1"/>
    <col min="3" max="3" width="26.28515625" bestFit="1" customWidth="1"/>
    <col min="4" max="5" width="20" customWidth="1"/>
    <col min="6" max="6" width="76.140625" bestFit="1" customWidth="1"/>
    <col min="7" max="7" width="3" customWidth="1"/>
  </cols>
  <sheetData>
    <row r="1" spans="1:7" ht="15" customHeight="1" x14ac:dyDescent="0.25">
      <c r="A1" s="3"/>
      <c r="B1" s="3"/>
      <c r="C1" s="3"/>
      <c r="D1" s="3"/>
      <c r="E1" s="3"/>
      <c r="F1" s="3"/>
      <c r="G1" s="3"/>
    </row>
    <row r="2" spans="1:7" ht="31.5" customHeight="1" x14ac:dyDescent="0.25">
      <c r="A2" s="3"/>
      <c r="B2" s="139" t="s">
        <v>206</v>
      </c>
      <c r="C2" s="139"/>
      <c r="D2" s="139"/>
      <c r="E2" s="139"/>
      <c r="F2" s="139"/>
      <c r="G2" s="3"/>
    </row>
    <row r="3" spans="1:7" ht="18" customHeight="1" x14ac:dyDescent="0.25">
      <c r="A3" s="3"/>
      <c r="B3" s="137" t="s">
        <v>207</v>
      </c>
      <c r="C3" s="137"/>
      <c r="D3" s="137"/>
      <c r="E3" s="137"/>
      <c r="F3" s="137"/>
      <c r="G3" s="3"/>
    </row>
    <row r="4" spans="1:7" ht="3" customHeight="1" x14ac:dyDescent="0.25">
      <c r="A4" s="3"/>
      <c r="B4" s="4"/>
      <c r="C4" s="4"/>
      <c r="D4" s="4"/>
      <c r="E4" s="4"/>
      <c r="F4" s="4"/>
      <c r="G4" s="3"/>
    </row>
    <row r="5" spans="1:7" ht="15" customHeight="1" x14ac:dyDescent="0.25">
      <c r="A5" s="3"/>
      <c r="B5" s="3"/>
      <c r="C5" s="3"/>
      <c r="D5" s="3"/>
      <c r="E5" s="3"/>
      <c r="F5" s="3"/>
      <c r="G5" s="3"/>
    </row>
    <row r="6" spans="1:7" ht="13.5" customHeight="1" x14ac:dyDescent="0.25">
      <c r="A6" s="3"/>
      <c r="B6" s="17" t="s">
        <v>208</v>
      </c>
      <c r="C6" s="17" t="s">
        <v>209</v>
      </c>
      <c r="D6" s="17" t="s">
        <v>210</v>
      </c>
      <c r="E6" s="17" t="s">
        <v>211</v>
      </c>
      <c r="F6" s="17" t="s">
        <v>212</v>
      </c>
      <c r="G6" s="3"/>
    </row>
    <row r="7" spans="1:7" s="102" customFormat="1" ht="27.75" customHeight="1" x14ac:dyDescent="0.25">
      <c r="A7" s="96"/>
      <c r="B7" s="97" t="s">
        <v>213</v>
      </c>
      <c r="C7" s="98" t="s">
        <v>214</v>
      </c>
      <c r="D7" s="99">
        <f>COUNTA('📂 Raw Data'!B2:B217)</f>
        <v>216</v>
      </c>
      <c r="E7" s="100" t="str">
        <f>IF(D7=216,"✅ PASS","❌ FAIL")</f>
        <v>✅ PASS</v>
      </c>
      <c r="F7" s="101" t="s">
        <v>215</v>
      </c>
      <c r="G7" s="96"/>
    </row>
    <row r="8" spans="1:7" s="102" customFormat="1" ht="27.75" customHeight="1" x14ac:dyDescent="0.25">
      <c r="A8" s="96"/>
      <c r="B8" s="103" t="s">
        <v>216</v>
      </c>
      <c r="C8" s="104" t="s">
        <v>217</v>
      </c>
      <c r="D8" s="105">
        <f>SUM('📂 Raw Data'!I2:I217)</f>
        <v>25775590.27</v>
      </c>
      <c r="E8" s="106" t="str">
        <f>IF(ABS(D8-25775590.27)&lt;1,"✅ PASS","⚠️ CHECK")</f>
        <v>✅ PASS</v>
      </c>
      <c r="F8" s="107" t="s">
        <v>218</v>
      </c>
      <c r="G8" s="96"/>
    </row>
    <row r="9" spans="1:7" s="102" customFormat="1" ht="27.75" customHeight="1" x14ac:dyDescent="0.25">
      <c r="A9" s="96"/>
      <c r="B9" s="97" t="s">
        <v>219</v>
      </c>
      <c r="C9" s="98" t="s">
        <v>220</v>
      </c>
      <c r="D9" s="108">
        <f>SUM('📂 Raw Data'!K2:K217)</f>
        <v>22598636.270000014</v>
      </c>
      <c r="E9" s="100" t="str">
        <f>IF(ABS(D9-22598636.27)&lt;1,"✅ PASS","⚠️ CHECK")</f>
        <v>✅ PASS</v>
      </c>
      <c r="F9" s="101" t="s">
        <v>221</v>
      </c>
      <c r="G9" s="96"/>
    </row>
    <row r="10" spans="1:7" s="102" customFormat="1" ht="27.75" customHeight="1" x14ac:dyDescent="0.25">
      <c r="A10" s="96"/>
      <c r="B10" s="103" t="s">
        <v>222</v>
      </c>
      <c r="C10" s="104" t="s">
        <v>223</v>
      </c>
      <c r="D10" s="105">
        <f>AVERAGE('📂 Raw Data'!J2:J217)</f>
        <v>0.1164717592592593</v>
      </c>
      <c r="E10" s="106" t="str">
        <f>IF(AND(D10&gt;0.08,D10&lt;0.18),"✅ PASS","⚠️ CHECK")</f>
        <v>✅ PASS</v>
      </c>
      <c r="F10" s="107" t="s">
        <v>224</v>
      </c>
      <c r="G10" s="96"/>
    </row>
    <row r="11" spans="1:7" s="102" customFormat="1" ht="27.75" customHeight="1" x14ac:dyDescent="0.25">
      <c r="A11" s="96"/>
      <c r="B11" s="97" t="s">
        <v>225</v>
      </c>
      <c r="C11" s="98" t="s">
        <v>226</v>
      </c>
      <c r="D11" s="99" t="str">
        <f>IF(SUM('📂 Raw Data'!N2:N217)&gt;SUM('📂 Raw Data'!K2:K217),"Yes","No")</f>
        <v>Yes</v>
      </c>
      <c r="E11" s="100" t="str">
        <f>IF(D11="Yes","✅ PASS","❌ FAIL")</f>
        <v>✅ PASS</v>
      </c>
      <c r="F11" s="101" t="s">
        <v>227</v>
      </c>
      <c r="G11" s="96"/>
    </row>
    <row r="12" spans="1:7" s="102" customFormat="1" ht="27.75" customHeight="1" x14ac:dyDescent="0.25">
      <c r="A12" s="96"/>
      <c r="B12" s="103" t="s">
        <v>228</v>
      </c>
      <c r="C12" s="104" t="s">
        <v>229</v>
      </c>
      <c r="D12" s="109">
        <f>COUNTBLANK('📂 Raw Data'!L2:L217)</f>
        <v>0</v>
      </c>
      <c r="E12" s="106" t="str">
        <f>IF(D12=0,"✅ PASS","❌ FAIL")</f>
        <v>✅ PASS</v>
      </c>
      <c r="F12" s="107" t="s">
        <v>230</v>
      </c>
      <c r="G12" s="96"/>
    </row>
    <row r="13" spans="1:7" s="102" customFormat="1" ht="27.75" customHeight="1" x14ac:dyDescent="0.25">
      <c r="A13" s="96"/>
      <c r="B13" s="97" t="s">
        <v>231</v>
      </c>
      <c r="C13" s="98" t="s">
        <v>214</v>
      </c>
      <c r="D13" s="99">
        <f>COUNTIF('📂 Raw Data'!P2:P217,"USD")</f>
        <v>216</v>
      </c>
      <c r="E13" s="100" t="str">
        <f>IF(D13=216,"✅ PASS","❌ FAIL")</f>
        <v>✅ PASS</v>
      </c>
      <c r="F13" s="101" t="s">
        <v>232</v>
      </c>
      <c r="G13" s="96"/>
    </row>
    <row r="14" spans="1:7" s="102" customFormat="1" ht="27.75" customHeight="1" x14ac:dyDescent="0.25">
      <c r="A14" s="96"/>
      <c r="B14" s="103" t="s">
        <v>233</v>
      </c>
      <c r="C14" s="104" t="s">
        <v>234</v>
      </c>
      <c r="D14" s="109">
        <f>SUMPRODUCT(('📂 Raw Data'!K2:K217&gt;'📂 Raw Data'!I2:I217)*1)</f>
        <v>0</v>
      </c>
      <c r="E14" s="106" t="str">
        <f>IF(D14=0,"✅ PASS","❌ FAIL — net exceeds gross")</f>
        <v>✅ PASS</v>
      </c>
      <c r="F14" s="107" t="s">
        <v>235</v>
      </c>
      <c r="G14" s="96"/>
    </row>
    <row r="15" spans="1:7" s="102" customFormat="1" ht="27.75" customHeight="1" x14ac:dyDescent="0.25">
      <c r="A15" s="96"/>
      <c r="B15" s="97" t="s">
        <v>236</v>
      </c>
      <c r="C15" s="98" t="s">
        <v>237</v>
      </c>
      <c r="D15" s="110">
        <f>SUM('📂 Raw Data'!M2:M217)</f>
        <v>23230573.309999999</v>
      </c>
      <c r="E15" s="100" t="str">
        <f>IF(ABS(D15-23230573.34)&lt;100,"✅ PASS","⚠️ CHECK")</f>
        <v>✅ PASS</v>
      </c>
      <c r="F15" s="101" t="s">
        <v>238</v>
      </c>
      <c r="G15" s="96"/>
    </row>
    <row r="16" spans="1:7" s="102" customFormat="1" ht="27.75" customHeight="1" x14ac:dyDescent="0.25">
      <c r="A16" s="96"/>
      <c r="B16" s="103" t="s">
        <v>239</v>
      </c>
      <c r="C16" s="104" t="s">
        <v>240</v>
      </c>
      <c r="D16" s="109">
        <f>COUNTA(_xlfn.UNIQUE('📂 Raw Data'!B2:B217))</f>
        <v>24</v>
      </c>
      <c r="E16" s="106" t="str">
        <f>IF(D16=24,"✅ PASS","⚠️ CHECK")</f>
        <v>✅ PASS</v>
      </c>
      <c r="F16" s="107" t="s">
        <v>241</v>
      </c>
      <c r="G16" s="96"/>
    </row>
    <row r="17" spans="1:7" s="102" customFormat="1" ht="42.75" customHeight="1" x14ac:dyDescent="0.25">
      <c r="A17" s="96"/>
      <c r="B17" s="97" t="s">
        <v>242</v>
      </c>
      <c r="C17" s="111" t="s">
        <v>314</v>
      </c>
      <c r="D17" s="99" cm="1">
        <f t="array" ref="D17">ROUND(SUMPRODUCT(('📂 Raw Data'!I2:I217)*(1-'📂 Raw Data'!J2:J217))-SUM('📂 Raw Data'!K2:K217),0)</f>
        <v>-64</v>
      </c>
      <c r="E17" s="112" t="str">
        <f>IF(ABS(D17)&lt;500,"✅ PASS","⚠️ CHECK — discount logic gap")</f>
        <v>✅ PASS</v>
      </c>
      <c r="F17" s="101" t="s">
        <v>315</v>
      </c>
      <c r="G17" s="96"/>
    </row>
    <row r="18" spans="1:7" s="102" customFormat="1" ht="27.75" customHeight="1" x14ac:dyDescent="0.25">
      <c r="A18" s="96"/>
      <c r="B18" s="103" t="s">
        <v>243</v>
      </c>
      <c r="C18" s="104" t="s">
        <v>244</v>
      </c>
      <c r="D18" s="109">
        <f>SUMPRODUCT((ABS('📂 Raw Data'!N2:N217/'📂 Raw Data'!O2:O217-12)&gt;0.01)*1)</f>
        <v>0</v>
      </c>
      <c r="E18" s="106" t="str">
        <f>IF(D18=0,"✅ PASS","❌ FAIL — ARR/MRR mismatch")</f>
        <v>✅ PASS</v>
      </c>
      <c r="F18" s="107" t="s">
        <v>245</v>
      </c>
      <c r="G18" s="96"/>
    </row>
    <row r="19" spans="1:7" s="102" customFormat="1" ht="27.75" customHeight="1" x14ac:dyDescent="0.25">
      <c r="A19" s="96"/>
      <c r="B19" s="103" t="s">
        <v>246</v>
      </c>
      <c r="C19" s="113" t="s">
        <v>247</v>
      </c>
      <c r="D19" s="109">
        <f>COUNTIF('📂 Raw Data'!Y2:Y217,"❌ FAIL")</f>
        <v>0</v>
      </c>
      <c r="E19" s="114" t="str">
        <f>IF(D19=0,"✅ PASS","❌ FAIL — see Raw Data col V")</f>
        <v>✅ PASS</v>
      </c>
      <c r="F19" s="107" t="s">
        <v>248</v>
      </c>
      <c r="G19" s="96"/>
    </row>
    <row r="20" spans="1:7" ht="15" customHeight="1" x14ac:dyDescent="0.25">
      <c r="A20" s="3"/>
      <c r="B20" s="3"/>
      <c r="C20" s="3"/>
      <c r="D20" s="3"/>
      <c r="E20" s="3"/>
      <c r="F20" s="3"/>
      <c r="G20" s="3"/>
    </row>
    <row r="21" spans="1:7" ht="15" customHeight="1" x14ac:dyDescent="0.25">
      <c r="A21" s="3"/>
      <c r="B21" s="3"/>
      <c r="C21" s="3"/>
      <c r="D21" s="3"/>
      <c r="E21" s="3"/>
      <c r="F21" s="3"/>
      <c r="G21" s="3"/>
    </row>
    <row r="22" spans="1:7" ht="15" customHeight="1" x14ac:dyDescent="0.25">
      <c r="A22" s="3"/>
      <c r="B22" s="3"/>
      <c r="C22" s="3"/>
      <c r="D22" s="3"/>
      <c r="E22" s="3"/>
      <c r="F22" s="3"/>
      <c r="G22" s="3"/>
    </row>
    <row r="23" spans="1:7" ht="15" customHeight="1" x14ac:dyDescent="0.25">
      <c r="A23" s="3"/>
      <c r="B23" s="3"/>
      <c r="C23" s="3"/>
      <c r="D23" s="3"/>
      <c r="E23" s="3"/>
      <c r="F23" s="3"/>
      <c r="G23" s="3"/>
    </row>
    <row r="24" spans="1:7" ht="15" customHeight="1" x14ac:dyDescent="0.25">
      <c r="A24" s="3"/>
      <c r="B24" s="3"/>
      <c r="C24" s="3"/>
      <c r="D24" s="3"/>
      <c r="E24" s="3"/>
      <c r="F24" s="3"/>
      <c r="G24" s="3"/>
    </row>
    <row r="25" spans="1:7" ht="15" customHeight="1" x14ac:dyDescent="0.25">
      <c r="A25" s="3"/>
      <c r="B25" s="3"/>
      <c r="C25" s="3"/>
      <c r="D25" s="3"/>
      <c r="E25" s="3"/>
      <c r="F25" s="3"/>
      <c r="G25" s="3"/>
    </row>
    <row r="26" spans="1:7" ht="15" customHeight="1" x14ac:dyDescent="0.25">
      <c r="A26" s="3"/>
      <c r="B26" s="3"/>
      <c r="C26" s="3"/>
      <c r="D26" s="3"/>
      <c r="E26" s="3"/>
      <c r="F26" s="3"/>
      <c r="G26" s="3"/>
    </row>
    <row r="27" spans="1:7" ht="15" customHeight="1" x14ac:dyDescent="0.25">
      <c r="A27" s="3"/>
      <c r="B27" s="3"/>
      <c r="C27" s="3"/>
      <c r="D27" s="3"/>
      <c r="E27" s="3"/>
      <c r="F27" s="3"/>
      <c r="G27" s="3"/>
    </row>
    <row r="28" spans="1:7" ht="15" customHeight="1" x14ac:dyDescent="0.25">
      <c r="A28" s="3"/>
      <c r="B28" s="3"/>
      <c r="C28" s="3"/>
      <c r="D28" s="3"/>
      <c r="E28" s="3"/>
      <c r="F28" s="3"/>
      <c r="G28" s="3"/>
    </row>
    <row r="29" spans="1:7" ht="15" customHeight="1" x14ac:dyDescent="0.25">
      <c r="A29" s="3"/>
      <c r="B29" s="3"/>
      <c r="C29" s="3"/>
      <c r="D29" s="3"/>
      <c r="E29" s="3"/>
      <c r="F29" s="3"/>
      <c r="G29" s="3"/>
    </row>
    <row r="30" spans="1:7" ht="15" customHeight="1" x14ac:dyDescent="0.25">
      <c r="A30" s="3"/>
      <c r="B30" s="3"/>
      <c r="C30" s="3"/>
      <c r="D30" s="3"/>
      <c r="E30" s="3"/>
      <c r="F30" s="3"/>
      <c r="G30" s="3"/>
    </row>
    <row r="31" spans="1:7" ht="15" customHeight="1" x14ac:dyDescent="0.25">
      <c r="A31" s="3"/>
      <c r="B31" s="3"/>
      <c r="C31" s="3"/>
      <c r="D31" s="3"/>
      <c r="E31" s="3"/>
      <c r="F31" s="3"/>
      <c r="G31" s="3"/>
    </row>
    <row r="32" spans="1:7" ht="15" customHeight="1" x14ac:dyDescent="0.25">
      <c r="A32" s="3"/>
      <c r="B32" s="3"/>
      <c r="C32" s="3"/>
      <c r="D32" s="3"/>
      <c r="E32" s="3"/>
      <c r="F32" s="3"/>
      <c r="G32" s="3"/>
    </row>
    <row r="33" spans="1:7" ht="15" customHeight="1" x14ac:dyDescent="0.25">
      <c r="A33" s="3"/>
      <c r="B33" s="3"/>
      <c r="C33" s="3"/>
      <c r="D33" s="3"/>
      <c r="E33" s="3"/>
      <c r="F33" s="3"/>
      <c r="G33" s="3"/>
    </row>
    <row r="34" spans="1:7" ht="15" customHeight="1" x14ac:dyDescent="0.25">
      <c r="A34" s="3"/>
      <c r="B34" s="3"/>
      <c r="C34" s="3"/>
      <c r="D34" s="3"/>
      <c r="E34" s="3"/>
      <c r="F34" s="3"/>
      <c r="G34" s="3"/>
    </row>
    <row r="35" spans="1:7" ht="15" customHeight="1" x14ac:dyDescent="0.25">
      <c r="A35" s="3"/>
      <c r="B35" s="3"/>
      <c r="C35" s="3"/>
      <c r="D35" s="3"/>
      <c r="E35" s="3"/>
      <c r="F35" s="3"/>
      <c r="G35" s="3"/>
    </row>
    <row r="36" spans="1:7" ht="15" customHeight="1" x14ac:dyDescent="0.25">
      <c r="A36" s="3"/>
      <c r="B36" s="3"/>
      <c r="C36" s="3"/>
      <c r="D36" s="3"/>
      <c r="E36" s="3"/>
      <c r="F36" s="3"/>
      <c r="G36" s="3"/>
    </row>
    <row r="37" spans="1:7" ht="15" customHeight="1" x14ac:dyDescent="0.25">
      <c r="A37" s="3"/>
      <c r="B37" s="3"/>
      <c r="C37" s="3"/>
      <c r="D37" s="3"/>
      <c r="E37" s="3"/>
      <c r="F37" s="3"/>
      <c r="G37" s="3"/>
    </row>
    <row r="38" spans="1:7" ht="15" customHeight="1" x14ac:dyDescent="0.25">
      <c r="A38" s="3"/>
      <c r="B38" s="3"/>
      <c r="C38" s="3"/>
      <c r="D38" s="3"/>
      <c r="E38" s="3"/>
      <c r="F38" s="3"/>
      <c r="G38" s="3"/>
    </row>
    <row r="39" spans="1:7" ht="15" customHeight="1" x14ac:dyDescent="0.25">
      <c r="A39" s="3"/>
      <c r="B39" s="3"/>
      <c r="C39" s="3"/>
      <c r="D39" s="3"/>
      <c r="E39" s="3"/>
      <c r="F39" s="3"/>
      <c r="G39" s="3"/>
    </row>
    <row r="40" spans="1:7" ht="15" customHeight="1" x14ac:dyDescent="0.25">
      <c r="A40" s="3"/>
      <c r="B40" s="3"/>
      <c r="C40" s="3"/>
      <c r="D40" s="3"/>
      <c r="E40" s="3"/>
      <c r="F40" s="3"/>
      <c r="G40" s="3"/>
    </row>
    <row r="41" spans="1:7" ht="15" customHeight="1" x14ac:dyDescent="0.25">
      <c r="A41" s="3"/>
      <c r="B41" s="3"/>
      <c r="C41" s="3"/>
      <c r="D41" s="3"/>
      <c r="E41" s="3"/>
      <c r="F41" s="3"/>
      <c r="G41" s="3"/>
    </row>
    <row r="42" spans="1:7" ht="15" customHeight="1" x14ac:dyDescent="0.25">
      <c r="A42" s="3"/>
      <c r="B42" s="3"/>
      <c r="C42" s="3"/>
      <c r="D42" s="3"/>
      <c r="E42" s="3"/>
      <c r="F42" s="3"/>
      <c r="G42" s="3"/>
    </row>
    <row r="43" spans="1:7" ht="15" customHeight="1" x14ac:dyDescent="0.25">
      <c r="A43" s="3"/>
      <c r="B43" s="3"/>
      <c r="C43" s="3"/>
      <c r="D43" s="3"/>
      <c r="E43" s="3"/>
      <c r="F43" s="3"/>
      <c r="G43" s="3"/>
    </row>
    <row r="44" spans="1:7" ht="15" customHeight="1" x14ac:dyDescent="0.25">
      <c r="A44" s="3"/>
      <c r="B44" s="3"/>
      <c r="C44" s="3"/>
      <c r="D44" s="3"/>
      <c r="E44" s="3"/>
      <c r="F44" s="3"/>
      <c r="G44" s="3"/>
    </row>
    <row r="45" spans="1:7" ht="15" customHeight="1" x14ac:dyDescent="0.25">
      <c r="A45" s="3"/>
      <c r="B45" s="3"/>
      <c r="C45" s="3"/>
      <c r="D45" s="3"/>
      <c r="E45" s="3"/>
      <c r="F45" s="3"/>
      <c r="G45" s="3"/>
    </row>
    <row r="46" spans="1:7" ht="15" customHeight="1" x14ac:dyDescent="0.25">
      <c r="A46" s="3"/>
      <c r="B46" s="3"/>
      <c r="C46" s="3"/>
      <c r="D46" s="3"/>
      <c r="E46" s="3"/>
      <c r="F46" s="3"/>
      <c r="G46" s="3"/>
    </row>
    <row r="47" spans="1:7" ht="15" customHeight="1" x14ac:dyDescent="0.25">
      <c r="A47" s="3"/>
      <c r="B47" s="3"/>
      <c r="C47" s="3"/>
      <c r="D47" s="3"/>
      <c r="E47" s="3"/>
      <c r="F47" s="3"/>
      <c r="G47" s="3"/>
    </row>
    <row r="48" spans="1:7" ht="15" customHeight="1" x14ac:dyDescent="0.25">
      <c r="A48" s="3"/>
      <c r="B48" s="3"/>
      <c r="C48" s="3"/>
      <c r="D48" s="3"/>
      <c r="E48" s="3"/>
      <c r="F48" s="3"/>
      <c r="G48" s="3"/>
    </row>
    <row r="49" spans="1:7" ht="15" customHeight="1" x14ac:dyDescent="0.25">
      <c r="A49" s="3"/>
      <c r="B49" s="3"/>
      <c r="C49" s="3"/>
      <c r="D49" s="3"/>
      <c r="E49" s="3"/>
      <c r="F49" s="3"/>
      <c r="G49" s="3"/>
    </row>
    <row r="50" spans="1:7" ht="15" customHeight="1" x14ac:dyDescent="0.25">
      <c r="A50" s="3"/>
      <c r="B50" s="3"/>
      <c r="C50" s="3"/>
      <c r="D50" s="3"/>
      <c r="E50" s="3"/>
      <c r="F50" s="3"/>
      <c r="G50" s="3"/>
    </row>
    <row r="51" spans="1:7" ht="15" customHeight="1" x14ac:dyDescent="0.25">
      <c r="A51" s="3"/>
      <c r="B51" s="3"/>
      <c r="C51" s="3"/>
      <c r="D51" s="3"/>
      <c r="E51" s="3"/>
      <c r="F51" s="3"/>
      <c r="G51" s="3"/>
    </row>
    <row r="52" spans="1:7" ht="15" customHeight="1" x14ac:dyDescent="0.25">
      <c r="A52" s="3"/>
      <c r="B52" s="3"/>
      <c r="C52" s="3"/>
      <c r="D52" s="3"/>
      <c r="E52" s="3"/>
      <c r="F52" s="3"/>
      <c r="G52" s="3"/>
    </row>
    <row r="53" spans="1:7" ht="15" customHeight="1" x14ac:dyDescent="0.25">
      <c r="A53" s="3"/>
      <c r="B53" s="3"/>
      <c r="C53" s="3"/>
      <c r="D53" s="3"/>
      <c r="E53" s="3"/>
      <c r="F53" s="3"/>
      <c r="G53" s="3"/>
    </row>
    <row r="54" spans="1:7" ht="15" customHeight="1" x14ac:dyDescent="0.25">
      <c r="A54" s="3"/>
      <c r="B54" s="3"/>
      <c r="C54" s="3"/>
      <c r="D54" s="3"/>
      <c r="E54" s="3"/>
      <c r="F54" s="3"/>
      <c r="G54" s="3"/>
    </row>
    <row r="55" spans="1:7" ht="15" customHeight="1" x14ac:dyDescent="0.25">
      <c r="A55" s="3"/>
      <c r="B55" s="3"/>
      <c r="C55" s="3"/>
      <c r="D55" s="3"/>
      <c r="E55" s="3"/>
      <c r="F55" s="3"/>
      <c r="G55" s="3"/>
    </row>
    <row r="56" spans="1:7" ht="15" customHeight="1" x14ac:dyDescent="0.25">
      <c r="A56" s="3"/>
      <c r="B56" s="3"/>
      <c r="C56" s="3"/>
      <c r="D56" s="3"/>
      <c r="E56" s="3"/>
      <c r="F56" s="3"/>
      <c r="G56" s="3"/>
    </row>
    <row r="57" spans="1:7" ht="15" customHeight="1" x14ac:dyDescent="0.25">
      <c r="A57" s="3"/>
      <c r="B57" s="3"/>
      <c r="C57" s="3"/>
      <c r="D57" s="3"/>
      <c r="E57" s="3"/>
      <c r="F57" s="3"/>
      <c r="G57" s="3"/>
    </row>
    <row r="58" spans="1:7" ht="15" customHeight="1" x14ac:dyDescent="0.25">
      <c r="A58" s="3"/>
      <c r="B58" s="3"/>
      <c r="C58" s="3"/>
      <c r="D58" s="3"/>
      <c r="E58" s="3"/>
      <c r="F58" s="3"/>
      <c r="G58" s="3"/>
    </row>
    <row r="59" spans="1:7" ht="15" customHeight="1" x14ac:dyDescent="0.25">
      <c r="A59" s="3"/>
      <c r="B59" s="3"/>
      <c r="C59" s="3"/>
      <c r="D59" s="3"/>
      <c r="E59" s="3"/>
      <c r="F59" s="3"/>
      <c r="G59" s="3"/>
    </row>
  </sheetData>
  <mergeCells count="2">
    <mergeCell ref="B2:F2"/>
    <mergeCell ref="B3:F3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59"/>
  <sheetViews>
    <sheetView showGridLines="0" zoomScaleNormal="100" workbookViewId="0">
      <selection activeCell="D13" sqref="D13"/>
    </sheetView>
  </sheetViews>
  <sheetFormatPr defaultColWidth="8.7109375" defaultRowHeight="15" x14ac:dyDescent="0.25"/>
  <cols>
    <col min="1" max="1" width="14" customWidth="1"/>
    <col min="2" max="7" width="16" customWidth="1"/>
    <col min="10" max="19" width="8.7109375" style="87"/>
  </cols>
  <sheetData>
    <row r="1" spans="1:19" ht="27.75" customHeight="1" x14ac:dyDescent="0.25">
      <c r="A1" s="140" t="s">
        <v>149</v>
      </c>
      <c r="B1" s="140"/>
      <c r="C1" s="140"/>
      <c r="D1" s="140"/>
      <c r="E1" s="140"/>
      <c r="F1" s="140"/>
      <c r="G1" s="140"/>
      <c r="H1" s="3"/>
      <c r="I1" s="3"/>
      <c r="J1" s="86"/>
      <c r="K1" s="86"/>
      <c r="L1" s="86"/>
      <c r="M1" s="86"/>
      <c r="N1" s="86"/>
      <c r="O1" s="86"/>
      <c r="P1" s="86"/>
      <c r="Q1" s="86"/>
      <c r="R1" s="86"/>
      <c r="S1" s="86"/>
    </row>
    <row r="2" spans="1:19" ht="3" customHeight="1" x14ac:dyDescent="0.25">
      <c r="A2" s="4"/>
      <c r="B2" s="4"/>
      <c r="C2" s="4"/>
      <c r="D2" s="4"/>
      <c r="E2" s="4"/>
      <c r="F2" s="4"/>
      <c r="G2" s="4"/>
      <c r="H2" s="3"/>
      <c r="I2" s="3"/>
      <c r="J2" s="86"/>
      <c r="K2" s="86"/>
      <c r="L2" s="86"/>
      <c r="M2" s="86"/>
      <c r="N2" s="86"/>
      <c r="O2" s="86"/>
      <c r="P2" s="86"/>
      <c r="Q2" s="86"/>
      <c r="R2" s="86"/>
      <c r="S2" s="86"/>
    </row>
    <row r="3" spans="1:19" ht="15.75" customHeight="1" x14ac:dyDescent="0.25">
      <c r="A3" s="54" t="s">
        <v>115</v>
      </c>
      <c r="B3" s="54" t="s">
        <v>58</v>
      </c>
      <c r="C3" s="54" t="s">
        <v>116</v>
      </c>
      <c r="D3" s="54" t="s">
        <v>117</v>
      </c>
      <c r="E3" s="54" t="s">
        <v>118</v>
      </c>
      <c r="F3" s="54" t="s">
        <v>150</v>
      </c>
      <c r="G3" s="54" t="s">
        <v>120</v>
      </c>
      <c r="H3" s="3"/>
      <c r="I3" s="3"/>
      <c r="J3" s="86"/>
      <c r="K3" s="86"/>
      <c r="L3" s="86"/>
      <c r="M3" s="86"/>
      <c r="N3" s="86"/>
      <c r="O3" s="86"/>
      <c r="P3" s="86"/>
      <c r="Q3" s="86"/>
      <c r="R3" s="86"/>
      <c r="S3" s="86"/>
    </row>
    <row r="4" spans="1:19" ht="15" customHeight="1" x14ac:dyDescent="0.25">
      <c r="A4" s="33" t="str">
        <f>'📈 Revenue Analysis'!B7</f>
        <v>2024-01</v>
      </c>
      <c r="B4" s="34">
        <f>'📈 Revenue Analysis'!D7</f>
        <v>653003.46</v>
      </c>
      <c r="C4" s="34">
        <f>'📈 Revenue Analysis'!C7</f>
        <v>759773.83</v>
      </c>
      <c r="D4" s="34">
        <f>'📈 Revenue Analysis'!E7</f>
        <v>7836041.6399999997</v>
      </c>
      <c r="E4" s="34">
        <f>'📈 Revenue Analysis'!F7</f>
        <v>653003.46</v>
      </c>
      <c r="F4" s="35">
        <f>'📈 Revenue Analysis'!G7</f>
        <v>0.11867777777777778</v>
      </c>
      <c r="G4" s="34">
        <f>'📈 Revenue Analysis'!H7</f>
        <v>14989.52</v>
      </c>
      <c r="H4" s="3"/>
      <c r="I4" s="3"/>
      <c r="J4" s="86"/>
      <c r="K4" s="86"/>
      <c r="L4" s="86"/>
      <c r="M4" s="86"/>
      <c r="N4" s="86"/>
      <c r="O4" s="86"/>
      <c r="P4" s="86"/>
      <c r="Q4" s="86"/>
      <c r="R4" s="86"/>
      <c r="S4" s="86"/>
    </row>
    <row r="5" spans="1:19" ht="15" customHeight="1" x14ac:dyDescent="0.25">
      <c r="A5" s="37" t="str">
        <f>'📈 Revenue Analysis'!B8</f>
        <v>2024-02</v>
      </c>
      <c r="B5" s="38">
        <f>'📈 Revenue Analysis'!D8</f>
        <v>583177.6</v>
      </c>
      <c r="C5" s="38">
        <f>'📈 Revenue Analysis'!C8</f>
        <v>641991.03</v>
      </c>
      <c r="D5" s="38">
        <f>'📈 Revenue Analysis'!E8</f>
        <v>6998131.2499999991</v>
      </c>
      <c r="E5" s="38">
        <f>'📈 Revenue Analysis'!F8</f>
        <v>583177.6</v>
      </c>
      <c r="F5" s="39">
        <f>'📈 Revenue Analysis'!G8</f>
        <v>9.735555555555557E-2</v>
      </c>
      <c r="G5" s="38">
        <f>'📈 Revenue Analysis'!H8</f>
        <v>2686.4600000000005</v>
      </c>
      <c r="H5" s="3"/>
      <c r="I5" s="3"/>
      <c r="J5" s="86"/>
      <c r="K5" s="86"/>
      <c r="L5" s="86"/>
      <c r="M5" s="86"/>
      <c r="N5" s="86"/>
      <c r="O5" s="86"/>
      <c r="P5" s="86"/>
      <c r="Q5" s="86"/>
      <c r="R5" s="86"/>
      <c r="S5" s="86"/>
    </row>
    <row r="6" spans="1:19" ht="15" customHeight="1" x14ac:dyDescent="0.25">
      <c r="A6" s="33" t="str">
        <f>'📈 Revenue Analysis'!B9</f>
        <v>2024-03</v>
      </c>
      <c r="B6" s="34">
        <f>'📈 Revenue Analysis'!D9</f>
        <v>1059807.9700000002</v>
      </c>
      <c r="C6" s="34">
        <f>'📈 Revenue Analysis'!C9</f>
        <v>1151682.1099999999</v>
      </c>
      <c r="D6" s="34">
        <f>'📈 Revenue Analysis'!E9</f>
        <v>12717695.550000001</v>
      </c>
      <c r="E6" s="34">
        <f>'📈 Revenue Analysis'!F9</f>
        <v>1059807.9700000002</v>
      </c>
      <c r="F6" s="35">
        <f>'📈 Revenue Analysis'!G9</f>
        <v>8.6166666666666669E-2</v>
      </c>
      <c r="G6" s="34">
        <f>'📈 Revenue Analysis'!H9</f>
        <v>41833.939999999995</v>
      </c>
      <c r="H6" s="3"/>
      <c r="I6" s="3"/>
      <c r="J6" s="86"/>
      <c r="K6" s="86"/>
      <c r="L6" s="86"/>
      <c r="M6" s="86"/>
      <c r="N6" s="86"/>
      <c r="O6" s="86"/>
      <c r="P6" s="86"/>
      <c r="Q6" s="86"/>
      <c r="R6" s="86"/>
      <c r="S6" s="86"/>
    </row>
    <row r="7" spans="1:19" ht="15" customHeight="1" x14ac:dyDescent="0.25">
      <c r="A7" s="37" t="str">
        <f>'📈 Revenue Analysis'!B10</f>
        <v>2024-04</v>
      </c>
      <c r="B7" s="38">
        <f>'📈 Revenue Analysis'!D10</f>
        <v>973180.27</v>
      </c>
      <c r="C7" s="38">
        <f>'📈 Revenue Analysis'!C10</f>
        <v>1135182.73</v>
      </c>
      <c r="D7" s="38">
        <f>'📈 Revenue Analysis'!E10</f>
        <v>11678163.34</v>
      </c>
      <c r="E7" s="38">
        <f>'📈 Revenue Analysis'!F10</f>
        <v>973180.27</v>
      </c>
      <c r="F7" s="39">
        <f>'📈 Revenue Analysis'!G10</f>
        <v>0.14396666666666669</v>
      </c>
      <c r="G7" s="38">
        <f>'📈 Revenue Analysis'!H10</f>
        <v>43722.63</v>
      </c>
      <c r="H7" s="3"/>
      <c r="I7" s="3"/>
      <c r="J7" s="86"/>
      <c r="K7" s="86"/>
      <c r="L7" s="86"/>
      <c r="M7" s="86"/>
      <c r="N7" s="86"/>
      <c r="O7" s="86"/>
      <c r="P7" s="86"/>
      <c r="Q7" s="86"/>
      <c r="R7" s="86"/>
      <c r="S7" s="86"/>
    </row>
    <row r="8" spans="1:19" ht="15" customHeight="1" x14ac:dyDescent="0.25">
      <c r="A8" s="33" t="str">
        <f>'📈 Revenue Analysis'!B11</f>
        <v>2024-05</v>
      </c>
      <c r="B8" s="34">
        <f>'📈 Revenue Analysis'!D11</f>
        <v>965325.7</v>
      </c>
      <c r="C8" s="34">
        <f>'📈 Revenue Analysis'!C11</f>
        <v>1064439.29</v>
      </c>
      <c r="D8" s="34">
        <f>'📈 Revenue Analysis'!E11</f>
        <v>11583908.309999999</v>
      </c>
      <c r="E8" s="34">
        <f>'📈 Revenue Analysis'!F11</f>
        <v>965325.7</v>
      </c>
      <c r="F8" s="35">
        <f>'📈 Revenue Analysis'!G11</f>
        <v>7.7499999999999999E-2</v>
      </c>
      <c r="G8" s="34">
        <f>'📈 Revenue Analysis'!H11</f>
        <v>16162.459999999995</v>
      </c>
      <c r="H8" s="3"/>
      <c r="I8" s="3"/>
      <c r="J8" s="86"/>
      <c r="K8" s="86"/>
      <c r="L8" s="86"/>
      <c r="M8" s="86"/>
      <c r="N8" s="86"/>
      <c r="O8" s="86"/>
      <c r="P8" s="86"/>
      <c r="Q8" s="86"/>
      <c r="R8" s="86"/>
      <c r="S8" s="86"/>
    </row>
    <row r="9" spans="1:19" ht="15" customHeight="1" x14ac:dyDescent="0.25">
      <c r="A9" s="37" t="str">
        <f>'📈 Revenue Analysis'!B12</f>
        <v>2024-06</v>
      </c>
      <c r="B9" s="38">
        <f>'📈 Revenue Analysis'!D12</f>
        <v>692527.11</v>
      </c>
      <c r="C9" s="38">
        <f>'📈 Revenue Analysis'!C12</f>
        <v>777405.83000000007</v>
      </c>
      <c r="D9" s="38">
        <f>'📈 Revenue Analysis'!E12</f>
        <v>8310325.3799999999</v>
      </c>
      <c r="E9" s="38">
        <f>'📈 Revenue Analysis'!F12</f>
        <v>692527.11</v>
      </c>
      <c r="F9" s="39">
        <f>'📈 Revenue Analysis'!G12</f>
        <v>0.1111</v>
      </c>
      <c r="G9" s="38">
        <f>'📈 Revenue Analysis'!H12</f>
        <v>26325.990000000005</v>
      </c>
      <c r="H9" s="3"/>
      <c r="I9" s="3"/>
      <c r="J9" s="86"/>
      <c r="K9" s="86"/>
      <c r="L9" s="86"/>
      <c r="M9" s="86"/>
      <c r="N9" s="86"/>
      <c r="O9" s="86"/>
      <c r="P9" s="86"/>
      <c r="Q9" s="86"/>
      <c r="R9" s="86"/>
      <c r="S9" s="86"/>
    </row>
    <row r="10" spans="1:19" ht="15" customHeight="1" x14ac:dyDescent="0.25">
      <c r="A10" s="33" t="str">
        <f>'📈 Revenue Analysis'!B13</f>
        <v>2024-07</v>
      </c>
      <c r="B10" s="34">
        <f>'📈 Revenue Analysis'!D13</f>
        <v>1218456.71</v>
      </c>
      <c r="C10" s="34">
        <f>'📈 Revenue Analysis'!C13</f>
        <v>1371764.6199999999</v>
      </c>
      <c r="D10" s="34">
        <f>'📈 Revenue Analysis'!E13</f>
        <v>14621480.529999999</v>
      </c>
      <c r="E10" s="34">
        <f>'📈 Revenue Analysis'!F13</f>
        <v>1218456.71</v>
      </c>
      <c r="F10" s="35">
        <f>'📈 Revenue Analysis'!G13</f>
        <v>0.11130000000000001</v>
      </c>
      <c r="G10" s="34">
        <f>'📈 Revenue Analysis'!H13</f>
        <v>-649.53000000000429</v>
      </c>
      <c r="H10" s="3"/>
      <c r="I10" s="3"/>
      <c r="J10" s="86"/>
      <c r="K10" s="86"/>
      <c r="L10" s="86"/>
      <c r="M10" s="86"/>
      <c r="N10" s="86"/>
      <c r="O10" s="86"/>
      <c r="P10" s="86"/>
      <c r="Q10" s="86"/>
      <c r="R10" s="86"/>
      <c r="S10" s="86"/>
    </row>
    <row r="11" spans="1:19" ht="15" customHeight="1" x14ac:dyDescent="0.25">
      <c r="A11" s="37" t="str">
        <f>'📈 Revenue Analysis'!B14</f>
        <v>2024-08</v>
      </c>
      <c r="B11" s="38">
        <f>'📈 Revenue Analysis'!D14</f>
        <v>637601.64</v>
      </c>
      <c r="C11" s="38">
        <f>'📈 Revenue Analysis'!C14</f>
        <v>738981.86</v>
      </c>
      <c r="D11" s="38">
        <f>'📈 Revenue Analysis'!E14</f>
        <v>7651219.46</v>
      </c>
      <c r="E11" s="38">
        <f>'📈 Revenue Analysis'!F14</f>
        <v>637601.64</v>
      </c>
      <c r="F11" s="39">
        <f>'📈 Revenue Analysis'!G14</f>
        <v>0.1244111111111111</v>
      </c>
      <c r="G11" s="38">
        <f>'📈 Revenue Analysis'!H14</f>
        <v>4066.0199999999986</v>
      </c>
      <c r="H11" s="3"/>
      <c r="I11" s="3"/>
      <c r="J11" s="86"/>
      <c r="K11" s="86"/>
      <c r="L11" s="86"/>
      <c r="M11" s="86"/>
      <c r="N11" s="86"/>
      <c r="O11" s="86"/>
      <c r="P11" s="86"/>
      <c r="Q11" s="86"/>
      <c r="R11" s="86"/>
      <c r="S11" s="86"/>
    </row>
    <row r="12" spans="1:19" ht="15" customHeight="1" x14ac:dyDescent="0.25">
      <c r="A12" s="33" t="str">
        <f>'📈 Revenue Analysis'!B15</f>
        <v>2024-09</v>
      </c>
      <c r="B12" s="34">
        <f>'📈 Revenue Analysis'!D15</f>
        <v>1568177.05</v>
      </c>
      <c r="C12" s="34">
        <f>'📈 Revenue Analysis'!C15</f>
        <v>1835974.68</v>
      </c>
      <c r="D12" s="34">
        <f>'📈 Revenue Analysis'!E15</f>
        <v>18818124.57</v>
      </c>
      <c r="E12" s="34">
        <f>'📈 Revenue Analysis'!F15</f>
        <v>1568177.05</v>
      </c>
      <c r="F12" s="35">
        <f>'📈 Revenue Analysis'!G15</f>
        <v>0.12230000000000001</v>
      </c>
      <c r="G12" s="34">
        <f>'📈 Revenue Analysis'!H15</f>
        <v>46928.9</v>
      </c>
      <c r="H12" s="3"/>
      <c r="I12" s="3"/>
      <c r="J12" s="86"/>
      <c r="K12" s="86"/>
      <c r="L12" s="86"/>
      <c r="M12" s="86"/>
      <c r="N12" s="86"/>
      <c r="O12" s="86"/>
      <c r="P12" s="86"/>
      <c r="Q12" s="86"/>
      <c r="R12" s="86"/>
      <c r="S12" s="86"/>
    </row>
    <row r="13" spans="1:19" ht="15" customHeight="1" x14ac:dyDescent="0.25">
      <c r="A13" s="37" t="str">
        <f>'📈 Revenue Analysis'!B16</f>
        <v>2024-10</v>
      </c>
      <c r="B13" s="38">
        <f>'📈 Revenue Analysis'!D16</f>
        <v>776190.30999999994</v>
      </c>
      <c r="C13" s="38">
        <f>'📈 Revenue Analysis'!C16</f>
        <v>912231.09</v>
      </c>
      <c r="D13" s="38">
        <f>'📈 Revenue Analysis'!E16</f>
        <v>9314283.7699999996</v>
      </c>
      <c r="E13" s="38">
        <f>'📈 Revenue Analysis'!F16</f>
        <v>776190.30999999994</v>
      </c>
      <c r="F13" s="39">
        <f>'📈 Revenue Analysis'!G16</f>
        <v>0.12925555555555557</v>
      </c>
      <c r="G13" s="38">
        <f>'📈 Revenue Analysis'!H16</f>
        <v>21344.559999999998</v>
      </c>
      <c r="H13" s="3"/>
      <c r="I13" s="3"/>
      <c r="J13" s="86"/>
      <c r="K13" s="86"/>
      <c r="L13" s="86"/>
      <c r="M13" s="86"/>
      <c r="N13" s="86"/>
      <c r="O13" s="86"/>
      <c r="P13" s="86"/>
      <c r="Q13" s="86"/>
      <c r="R13" s="86"/>
      <c r="S13" s="86"/>
    </row>
    <row r="14" spans="1:19" ht="15" customHeight="1" x14ac:dyDescent="0.25">
      <c r="A14" s="33" t="str">
        <f>'📈 Revenue Analysis'!B17</f>
        <v>2024-11</v>
      </c>
      <c r="B14" s="34">
        <f>'📈 Revenue Analysis'!D17</f>
        <v>882368.33000000007</v>
      </c>
      <c r="C14" s="34">
        <f>'📈 Revenue Analysis'!C17</f>
        <v>959174.15</v>
      </c>
      <c r="D14" s="34">
        <f>'📈 Revenue Analysis'!E17</f>
        <v>10588419.85</v>
      </c>
      <c r="E14" s="34">
        <f>'📈 Revenue Analysis'!F17</f>
        <v>882368.33000000007</v>
      </c>
      <c r="F14" s="35">
        <f>'📈 Revenue Analysis'!G17</f>
        <v>8.7077777777777782E-2</v>
      </c>
      <c r="G14" s="34">
        <f>'📈 Revenue Analysis'!H17</f>
        <v>10759.52</v>
      </c>
      <c r="H14" s="3"/>
      <c r="I14" s="3"/>
      <c r="J14" s="86"/>
      <c r="K14" s="86"/>
      <c r="L14" s="86"/>
      <c r="M14" s="86"/>
      <c r="N14" s="86"/>
      <c r="O14" s="86"/>
      <c r="P14" s="86"/>
      <c r="Q14" s="86"/>
      <c r="R14" s="86"/>
      <c r="S14" s="86"/>
    </row>
    <row r="15" spans="1:19" ht="15" customHeight="1" x14ac:dyDescent="0.25">
      <c r="A15" s="37" t="str">
        <f>'📈 Revenue Analysis'!B18</f>
        <v>2024-12</v>
      </c>
      <c r="B15" s="38">
        <f>'📈 Revenue Analysis'!D18</f>
        <v>1104736.3599999999</v>
      </c>
      <c r="C15" s="38">
        <f>'📈 Revenue Analysis'!C18</f>
        <v>1248081.57</v>
      </c>
      <c r="D15" s="38">
        <f>'📈 Revenue Analysis'!E18</f>
        <v>13256836.15</v>
      </c>
      <c r="E15" s="38">
        <f>'📈 Revenue Analysis'!F18</f>
        <v>1104736.3599999999</v>
      </c>
      <c r="F15" s="39">
        <f>'📈 Revenue Analysis'!G18</f>
        <v>0.10112222222222221</v>
      </c>
      <c r="G15" s="38">
        <f>'📈 Revenue Analysis'!H18</f>
        <v>13578.939999999999</v>
      </c>
      <c r="H15" s="3"/>
      <c r="I15" s="3"/>
      <c r="J15" s="86"/>
      <c r="K15" s="86"/>
      <c r="L15" s="86"/>
      <c r="M15" s="86"/>
      <c r="N15" s="86"/>
      <c r="O15" s="86"/>
      <c r="P15" s="86"/>
      <c r="Q15" s="86"/>
      <c r="R15" s="86"/>
      <c r="S15" s="86"/>
    </row>
    <row r="16" spans="1:19" ht="15" customHeight="1" x14ac:dyDescent="0.25">
      <c r="A16" s="33" t="str">
        <f>'📈 Revenue Analysis'!B19</f>
        <v>2025-01</v>
      </c>
      <c r="B16" s="34">
        <f>'📈 Revenue Analysis'!D19</f>
        <v>1051419.3600000001</v>
      </c>
      <c r="C16" s="34">
        <f>'📈 Revenue Analysis'!C19</f>
        <v>1199518.76</v>
      </c>
      <c r="D16" s="34">
        <f>'📈 Revenue Analysis'!E19</f>
        <v>12617032.35</v>
      </c>
      <c r="E16" s="34">
        <f>'📈 Revenue Analysis'!F19</f>
        <v>1051419.3600000001</v>
      </c>
      <c r="F16" s="35">
        <f>'📈 Revenue Analysis'!G19</f>
        <v>0.12586666666666668</v>
      </c>
      <c r="G16" s="34">
        <f>'📈 Revenue Analysis'!H19</f>
        <v>74240.55</v>
      </c>
      <c r="H16" s="3"/>
      <c r="I16" s="3"/>
      <c r="J16" s="86"/>
      <c r="K16" s="86"/>
      <c r="L16" s="86"/>
      <c r="M16" s="86"/>
      <c r="N16" s="86"/>
      <c r="O16" s="86"/>
      <c r="P16" s="86"/>
      <c r="Q16" s="86"/>
      <c r="R16" s="86"/>
      <c r="S16" s="86"/>
    </row>
    <row r="17" spans="1:19" ht="15" customHeight="1" x14ac:dyDescent="0.25">
      <c r="A17" s="37" t="str">
        <f>'📈 Revenue Analysis'!B20</f>
        <v>2025-02</v>
      </c>
      <c r="B17" s="38">
        <f>'📈 Revenue Analysis'!D20</f>
        <v>723705.39</v>
      </c>
      <c r="C17" s="38">
        <f>'📈 Revenue Analysis'!C20</f>
        <v>880586.34999999986</v>
      </c>
      <c r="D17" s="38">
        <f>'📈 Revenue Analysis'!E20</f>
        <v>8684464.75</v>
      </c>
      <c r="E17" s="38">
        <f>'📈 Revenue Analysis'!F20</f>
        <v>723705.39</v>
      </c>
      <c r="F17" s="39">
        <f>'📈 Revenue Analysis'!G20</f>
        <v>0.1718888888888889</v>
      </c>
      <c r="G17" s="38">
        <f>'📈 Revenue Analysis'!H20</f>
        <v>-17854.440000000002</v>
      </c>
      <c r="H17" s="3"/>
      <c r="I17" s="3"/>
      <c r="J17" s="86"/>
      <c r="K17" s="86"/>
      <c r="L17" s="86"/>
      <c r="M17" s="86"/>
      <c r="N17" s="86"/>
      <c r="O17" s="86"/>
      <c r="P17" s="86"/>
      <c r="Q17" s="86"/>
      <c r="R17" s="86"/>
      <c r="S17" s="86"/>
    </row>
    <row r="18" spans="1:19" ht="15" customHeight="1" x14ac:dyDescent="0.25">
      <c r="A18" s="33" t="str">
        <f>'📈 Revenue Analysis'!B21</f>
        <v>2025-03</v>
      </c>
      <c r="B18" s="34">
        <f>'📈 Revenue Analysis'!D21</f>
        <v>963510.89999999991</v>
      </c>
      <c r="C18" s="34">
        <f>'📈 Revenue Analysis'!C21</f>
        <v>1080829.3</v>
      </c>
      <c r="D18" s="34">
        <f>'📈 Revenue Analysis'!E21</f>
        <v>11562130.73</v>
      </c>
      <c r="E18" s="34">
        <f>'📈 Revenue Analysis'!F21</f>
        <v>963510.89999999991</v>
      </c>
      <c r="F18" s="35">
        <f>'📈 Revenue Analysis'!G21</f>
        <v>0.11013333333333333</v>
      </c>
      <c r="G18" s="34">
        <f>'📈 Revenue Analysis'!H21</f>
        <v>37243.540000000008</v>
      </c>
      <c r="H18" s="3"/>
      <c r="I18" s="3"/>
      <c r="J18" s="86"/>
      <c r="K18" s="86"/>
      <c r="L18" s="86"/>
      <c r="M18" s="86"/>
      <c r="N18" s="86"/>
      <c r="O18" s="86"/>
      <c r="P18" s="86"/>
      <c r="Q18" s="86"/>
      <c r="R18" s="86"/>
      <c r="S18" s="86"/>
    </row>
    <row r="19" spans="1:19" ht="15" customHeight="1" x14ac:dyDescent="0.25">
      <c r="A19" s="37" t="str">
        <f>'📈 Revenue Analysis'!B22</f>
        <v>2025-04</v>
      </c>
      <c r="B19" s="38">
        <f>'📈 Revenue Analysis'!D22</f>
        <v>1175868.1600000001</v>
      </c>
      <c r="C19" s="38">
        <f>'📈 Revenue Analysis'!C22</f>
        <v>1297154.31</v>
      </c>
      <c r="D19" s="38">
        <f>'📈 Revenue Analysis'!E22</f>
        <v>14110418.040000001</v>
      </c>
      <c r="E19" s="38">
        <f>'📈 Revenue Analysis'!F22</f>
        <v>1175868.1600000001</v>
      </c>
      <c r="F19" s="39">
        <f>'📈 Revenue Analysis'!G22</f>
        <v>9.0155555555555558E-2</v>
      </c>
      <c r="G19" s="38">
        <f>'📈 Revenue Analysis'!H22</f>
        <v>-19347.659999999996</v>
      </c>
      <c r="H19" s="3"/>
      <c r="I19" s="3"/>
      <c r="J19" s="86"/>
      <c r="K19" s="86"/>
      <c r="L19" s="86"/>
      <c r="M19" s="86"/>
      <c r="N19" s="86"/>
      <c r="O19" s="86"/>
      <c r="P19" s="86"/>
      <c r="Q19" s="86"/>
      <c r="R19" s="86"/>
      <c r="S19" s="86"/>
    </row>
    <row r="20" spans="1:19" ht="15" customHeight="1" x14ac:dyDescent="0.25">
      <c r="A20" s="33" t="str">
        <f>'📈 Revenue Analysis'!B23</f>
        <v>2025-05</v>
      </c>
      <c r="B20" s="34">
        <f>'📈 Revenue Analysis'!D23</f>
        <v>901474.63</v>
      </c>
      <c r="C20" s="34">
        <f>'📈 Revenue Analysis'!C23</f>
        <v>1051122.3199999998</v>
      </c>
      <c r="D20" s="34">
        <f>'📈 Revenue Analysis'!E23</f>
        <v>10817695.609999999</v>
      </c>
      <c r="E20" s="34">
        <f>'📈 Revenue Analysis'!F23</f>
        <v>901474.63</v>
      </c>
      <c r="F20" s="35">
        <f>'📈 Revenue Analysis'!G23</f>
        <v>0.13092222222222222</v>
      </c>
      <c r="G20" s="34">
        <f>'📈 Revenue Analysis'!H23</f>
        <v>61707.28</v>
      </c>
      <c r="H20" s="3"/>
      <c r="I20" s="3"/>
      <c r="J20" s="86"/>
      <c r="K20" s="86"/>
      <c r="L20" s="86"/>
      <c r="M20" s="86"/>
      <c r="N20" s="86"/>
      <c r="O20" s="86"/>
      <c r="P20" s="86"/>
      <c r="Q20" s="86"/>
      <c r="R20" s="86"/>
      <c r="S20" s="86"/>
    </row>
    <row r="21" spans="1:19" ht="15" customHeight="1" x14ac:dyDescent="0.25">
      <c r="A21" s="37" t="str">
        <f>'📈 Revenue Analysis'!B24</f>
        <v>2025-06</v>
      </c>
      <c r="B21" s="38">
        <f>'📈 Revenue Analysis'!D24</f>
        <v>1086983.9600000002</v>
      </c>
      <c r="C21" s="38">
        <f>'📈 Revenue Analysis'!C24</f>
        <v>1228352</v>
      </c>
      <c r="D21" s="38">
        <f>'📈 Revenue Analysis'!E24</f>
        <v>13043807.469999999</v>
      </c>
      <c r="E21" s="38">
        <f>'📈 Revenue Analysis'!F24</f>
        <v>1086983.9600000002</v>
      </c>
      <c r="F21" s="39">
        <f>'📈 Revenue Analysis'!G24</f>
        <v>0.11632222222222222</v>
      </c>
      <c r="G21" s="38">
        <f>'📈 Revenue Analysis'!H24</f>
        <v>57337.279999999999</v>
      </c>
      <c r="H21" s="3"/>
      <c r="I21" s="3"/>
      <c r="J21" s="86"/>
      <c r="K21" s="86"/>
      <c r="L21" s="86"/>
      <c r="M21" s="86"/>
      <c r="N21" s="86"/>
      <c r="O21" s="86"/>
      <c r="P21" s="86"/>
      <c r="Q21" s="86"/>
      <c r="R21" s="86"/>
      <c r="S21" s="86"/>
    </row>
    <row r="22" spans="1:19" ht="15" customHeight="1" x14ac:dyDescent="0.25">
      <c r="A22" s="33" t="str">
        <f>'📈 Revenue Analysis'!B25</f>
        <v>2025-07</v>
      </c>
      <c r="B22" s="34">
        <f>'📈 Revenue Analysis'!D25</f>
        <v>1047121.4299999999</v>
      </c>
      <c r="C22" s="34">
        <f>'📈 Revenue Analysis'!C25</f>
        <v>1246763.0600000003</v>
      </c>
      <c r="D22" s="34">
        <f>'📈 Revenue Analysis'!E25</f>
        <v>12565457.09</v>
      </c>
      <c r="E22" s="34">
        <f>'📈 Revenue Analysis'!F25</f>
        <v>1047121.4299999999</v>
      </c>
      <c r="F22" s="35">
        <f>'📈 Revenue Analysis'!G25</f>
        <v>0.13764444444444443</v>
      </c>
      <c r="G22" s="34">
        <f>'📈 Revenue Analysis'!H25</f>
        <v>22746.700000000004</v>
      </c>
      <c r="H22" s="3"/>
      <c r="I22" s="3"/>
      <c r="J22" s="86"/>
      <c r="K22" s="86"/>
      <c r="L22" s="86"/>
      <c r="M22" s="86"/>
      <c r="N22" s="86"/>
      <c r="O22" s="86"/>
      <c r="P22" s="86"/>
      <c r="Q22" s="86"/>
      <c r="R22" s="86"/>
      <c r="S22" s="86"/>
    </row>
    <row r="23" spans="1:19" ht="15" customHeight="1" x14ac:dyDescent="0.25">
      <c r="A23" s="37" t="str">
        <f>'📈 Revenue Analysis'!B26</f>
        <v>2025-08</v>
      </c>
      <c r="B23" s="38">
        <f>'📈 Revenue Analysis'!D26</f>
        <v>1007024.59</v>
      </c>
      <c r="C23" s="38">
        <f>'📈 Revenue Analysis'!C26</f>
        <v>1190366.32</v>
      </c>
      <c r="D23" s="38">
        <f>'📈 Revenue Analysis'!E26</f>
        <v>12084295.209999999</v>
      </c>
      <c r="E23" s="38">
        <f>'📈 Revenue Analysis'!F26</f>
        <v>1007024.59</v>
      </c>
      <c r="F23" s="39">
        <f>'📈 Revenue Analysis'!G26</f>
        <v>0.14804444444444445</v>
      </c>
      <c r="G23" s="38">
        <f>'📈 Revenue Analysis'!H26</f>
        <v>24969.630000000005</v>
      </c>
      <c r="H23" s="3"/>
      <c r="I23" s="3"/>
      <c r="J23" s="86"/>
      <c r="K23" s="86"/>
      <c r="L23" s="86"/>
      <c r="M23" s="86"/>
      <c r="N23" s="86"/>
      <c r="O23" s="86"/>
      <c r="P23" s="86"/>
      <c r="Q23" s="86"/>
      <c r="R23" s="86"/>
      <c r="S23" s="86"/>
    </row>
    <row r="24" spans="1:19" ht="15" customHeight="1" x14ac:dyDescent="0.25">
      <c r="A24" s="33" t="str">
        <f>'📈 Revenue Analysis'!B27</f>
        <v>2025-09</v>
      </c>
      <c r="B24" s="34">
        <f>'📈 Revenue Analysis'!D27</f>
        <v>836844.97000000009</v>
      </c>
      <c r="C24" s="34">
        <f>'📈 Revenue Analysis'!C27</f>
        <v>926805.77999999991</v>
      </c>
      <c r="D24" s="34">
        <f>'📈 Revenue Analysis'!E27</f>
        <v>10042139.629999999</v>
      </c>
      <c r="E24" s="34">
        <f>'📈 Revenue Analysis'!F27</f>
        <v>836844.97000000009</v>
      </c>
      <c r="F24" s="35">
        <f>'📈 Revenue Analysis'!G27</f>
        <v>0.10924444444444442</v>
      </c>
      <c r="G24" s="34">
        <f>'📈 Revenue Analysis'!H27</f>
        <v>20326.150000000001</v>
      </c>
      <c r="H24" s="3"/>
      <c r="I24" s="3"/>
      <c r="J24" s="86"/>
      <c r="K24" s="86"/>
      <c r="L24" s="86"/>
      <c r="M24" s="86"/>
      <c r="N24" s="86"/>
      <c r="O24" s="86"/>
      <c r="P24" s="86"/>
      <c r="Q24" s="86"/>
      <c r="R24" s="86"/>
      <c r="S24" s="86"/>
    </row>
    <row r="25" spans="1:19" ht="15" customHeight="1" x14ac:dyDescent="0.25">
      <c r="A25" s="37" t="str">
        <f>'📈 Revenue Analysis'!B28</f>
        <v>2025-10</v>
      </c>
      <c r="B25" s="38">
        <f>'📈 Revenue Analysis'!D28</f>
        <v>741254.3600000001</v>
      </c>
      <c r="C25" s="38">
        <f>'📈 Revenue Analysis'!C28</f>
        <v>829289.25000000012</v>
      </c>
      <c r="D25" s="38">
        <f>'📈 Revenue Analysis'!E28</f>
        <v>8895052.459999999</v>
      </c>
      <c r="E25" s="38">
        <f>'📈 Revenue Analysis'!F28</f>
        <v>741254.3600000001</v>
      </c>
      <c r="F25" s="39">
        <f>'📈 Revenue Analysis'!G28</f>
        <v>0.11273333333333332</v>
      </c>
      <c r="G25" s="38">
        <f>'📈 Revenue Analysis'!H28</f>
        <v>59749.009999999995</v>
      </c>
      <c r="H25" s="3"/>
      <c r="I25" s="3"/>
      <c r="J25" s="86"/>
      <c r="K25" s="86"/>
      <c r="L25" s="86"/>
      <c r="M25" s="86"/>
      <c r="N25" s="86"/>
      <c r="O25" s="86"/>
      <c r="P25" s="86"/>
      <c r="Q25" s="86"/>
      <c r="R25" s="86"/>
      <c r="S25" s="86"/>
    </row>
    <row r="26" spans="1:19" ht="15" customHeight="1" x14ac:dyDescent="0.25">
      <c r="A26" s="33" t="str">
        <f>'📈 Revenue Analysis'!B29</f>
        <v>2025-11</v>
      </c>
      <c r="B26" s="34">
        <f>'📈 Revenue Analysis'!D29</f>
        <v>812776.58</v>
      </c>
      <c r="C26" s="34">
        <f>'📈 Revenue Analysis'!C29</f>
        <v>870892.76</v>
      </c>
      <c r="D26" s="34">
        <f>'📈 Revenue Analysis'!E29</f>
        <v>9753319.120000001</v>
      </c>
      <c r="E26" s="34">
        <f>'📈 Revenue Analysis'!F29</f>
        <v>812776.58</v>
      </c>
      <c r="F26" s="35">
        <f>'📈 Revenue Analysis'!G29</f>
        <v>7.21888888888889E-2</v>
      </c>
      <c r="G26" s="34">
        <f>'📈 Revenue Analysis'!H29</f>
        <v>638.32999999999902</v>
      </c>
      <c r="H26" s="3"/>
      <c r="I26" s="3"/>
      <c r="J26" s="86"/>
      <c r="K26" s="86"/>
      <c r="L26" s="86"/>
      <c r="M26" s="86"/>
      <c r="N26" s="86"/>
      <c r="O26" s="86"/>
      <c r="P26" s="86"/>
      <c r="Q26" s="86"/>
      <c r="R26" s="86"/>
      <c r="S26" s="86"/>
    </row>
    <row r="27" spans="1:19" ht="15" customHeight="1" x14ac:dyDescent="0.25">
      <c r="A27" s="37" t="str">
        <f>'📈 Revenue Analysis'!B30</f>
        <v>2025-12</v>
      </c>
      <c r="B27" s="38">
        <f>'📈 Revenue Analysis'!D30</f>
        <v>1136099.4300000002</v>
      </c>
      <c r="C27" s="38">
        <f>'📈 Revenue Analysis'!C30</f>
        <v>1377227.27</v>
      </c>
      <c r="D27" s="38">
        <f>'📈 Revenue Analysis'!E30</f>
        <v>13633192.98</v>
      </c>
      <c r="E27" s="38">
        <f>'📈 Revenue Analysis'!F30</f>
        <v>1136099.4300000002</v>
      </c>
      <c r="F27" s="39">
        <f>'📈 Revenue Analysis'!G30</f>
        <v>0.15994444444444444</v>
      </c>
      <c r="G27" s="38">
        <f>'📈 Revenue Analysis'!H30</f>
        <v>68431.289999999994</v>
      </c>
      <c r="H27" s="3"/>
      <c r="I27" s="3"/>
      <c r="J27" s="86"/>
      <c r="K27" s="86"/>
      <c r="L27" s="86"/>
      <c r="M27" s="86"/>
      <c r="N27" s="86"/>
      <c r="O27" s="86"/>
      <c r="P27" s="86"/>
      <c r="Q27" s="86"/>
      <c r="R27" s="86"/>
      <c r="S27" s="86"/>
    </row>
    <row r="28" spans="1:19" ht="1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86"/>
      <c r="K28" s="86"/>
      <c r="L28" s="86"/>
      <c r="M28" s="86"/>
      <c r="N28" s="86"/>
      <c r="O28" s="86"/>
      <c r="P28" s="86"/>
      <c r="Q28" s="86"/>
      <c r="R28" s="86"/>
      <c r="S28" s="86"/>
    </row>
    <row r="29" spans="1:19" ht="15.75" customHeight="1" x14ac:dyDescent="0.25">
      <c r="A29" s="55" t="s">
        <v>57</v>
      </c>
      <c r="B29" s="55" t="s">
        <v>58</v>
      </c>
      <c r="C29" s="3"/>
      <c r="D29" s="3"/>
      <c r="E29" s="3"/>
      <c r="F29" s="3"/>
      <c r="G29" s="3"/>
      <c r="H29" s="3"/>
      <c r="I29" s="3"/>
      <c r="J29" s="86"/>
      <c r="K29" s="86"/>
      <c r="L29" s="86"/>
      <c r="M29" s="86"/>
      <c r="N29" s="86"/>
      <c r="O29" s="86"/>
      <c r="P29" s="86"/>
      <c r="Q29" s="86"/>
      <c r="R29" s="86"/>
      <c r="S29" s="86"/>
    </row>
    <row r="30" spans="1:19" ht="18" customHeight="1" x14ac:dyDescent="0.25">
      <c r="A30" s="9" t="str">
        <f>'📈 Revenue Analysis'!B38</f>
        <v>North America</v>
      </c>
      <c r="B30" s="18">
        <f>'📈 Revenue Analysis'!F38</f>
        <v>7896687.9000000004</v>
      </c>
      <c r="C30" s="3"/>
      <c r="D30" s="3"/>
      <c r="E30" s="3"/>
      <c r="F30" s="3"/>
      <c r="G30" s="3"/>
      <c r="H30" s="3"/>
      <c r="I30" s="3"/>
      <c r="J30" s="86"/>
      <c r="K30" s="86"/>
      <c r="L30" s="86"/>
      <c r="M30" s="86"/>
      <c r="N30" s="86"/>
      <c r="O30" s="86"/>
      <c r="P30" s="86"/>
      <c r="Q30" s="86"/>
      <c r="R30" s="86"/>
      <c r="S30" s="86"/>
    </row>
    <row r="31" spans="1:19" ht="18" customHeight="1" x14ac:dyDescent="0.25">
      <c r="A31" s="51" t="str">
        <f>'📈 Revenue Analysis'!B36</f>
        <v>APAC</v>
      </c>
      <c r="B31" s="52">
        <f>'📈 Revenue Analysis'!F36</f>
        <v>7651525.1399999987</v>
      </c>
      <c r="C31" s="3"/>
      <c r="D31" s="3"/>
      <c r="E31" s="3"/>
      <c r="F31" s="3"/>
      <c r="G31" s="3"/>
      <c r="H31" s="3"/>
      <c r="I31" s="3"/>
      <c r="J31" s="86"/>
      <c r="K31" s="86"/>
      <c r="L31" s="86"/>
      <c r="M31" s="86"/>
      <c r="N31" s="86"/>
      <c r="O31" s="86"/>
      <c r="P31" s="86"/>
      <c r="Q31" s="86"/>
      <c r="R31" s="86"/>
      <c r="S31" s="86"/>
    </row>
    <row r="32" spans="1:19" ht="18" customHeight="1" x14ac:dyDescent="0.25">
      <c r="A32" s="9" t="str">
        <f>'📈 Revenue Analysis'!B37</f>
        <v>Europe</v>
      </c>
      <c r="B32" s="18">
        <f>'📈 Revenue Analysis'!F37</f>
        <v>7050423.2300000004</v>
      </c>
      <c r="C32" s="3"/>
      <c r="D32" s="3"/>
      <c r="E32" s="3"/>
      <c r="F32" s="3"/>
      <c r="G32" s="3"/>
      <c r="H32" s="3"/>
      <c r="I32" s="3"/>
      <c r="J32" s="86"/>
      <c r="K32" s="86"/>
      <c r="L32" s="86"/>
      <c r="M32" s="86"/>
      <c r="N32" s="86"/>
      <c r="O32" s="86"/>
      <c r="P32" s="86"/>
      <c r="Q32" s="86"/>
      <c r="R32" s="86"/>
      <c r="S32" s="86"/>
    </row>
    <row r="33" spans="1:19" ht="1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86"/>
      <c r="K33" s="86"/>
      <c r="L33" s="86"/>
      <c r="M33" s="86"/>
      <c r="N33" s="86"/>
      <c r="O33" s="86"/>
      <c r="P33" s="86"/>
      <c r="Q33" s="86"/>
      <c r="R33" s="86"/>
      <c r="S33" s="86"/>
    </row>
    <row r="34" spans="1:19" ht="1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86"/>
      <c r="K34" s="86"/>
      <c r="L34" s="86"/>
      <c r="M34" s="86"/>
      <c r="N34" s="86"/>
      <c r="O34" s="86"/>
      <c r="P34" s="86"/>
      <c r="Q34" s="86"/>
      <c r="R34" s="86"/>
      <c r="S34" s="86"/>
    </row>
    <row r="35" spans="1:19" ht="15.75" customHeight="1" x14ac:dyDescent="0.25">
      <c r="A35" s="56" t="s">
        <v>151</v>
      </c>
      <c r="B35" s="56" t="s">
        <v>119</v>
      </c>
      <c r="C35" s="3"/>
      <c r="D35" s="3"/>
      <c r="E35" s="3"/>
      <c r="F35" s="3"/>
      <c r="G35" s="3"/>
      <c r="H35" s="3"/>
      <c r="I35" s="3"/>
      <c r="J35" s="86"/>
      <c r="K35" s="86"/>
      <c r="L35" s="86"/>
      <c r="M35" s="86"/>
      <c r="N35" s="86"/>
      <c r="O35" s="86"/>
      <c r="P35" s="86"/>
      <c r="Q35" s="86"/>
      <c r="R35" s="86"/>
      <c r="S35" s="86"/>
    </row>
    <row r="36" spans="1:19" ht="18" customHeight="1" x14ac:dyDescent="0.25">
      <c r="A36" s="9" t="s">
        <v>63</v>
      </c>
      <c r="B36" s="57">
        <f>AVERAGEIFS('📂 Raw Data'!J2:J217,'📂 Raw Data'!F2:F217,"Enterprise")</f>
        <v>0.12048648648648649</v>
      </c>
      <c r="C36" s="3"/>
      <c r="D36" s="3"/>
      <c r="E36" s="3"/>
      <c r="F36" s="3"/>
      <c r="G36" s="3"/>
      <c r="H36" s="3"/>
      <c r="I36" s="3"/>
      <c r="J36" s="86"/>
      <c r="K36" s="86"/>
      <c r="L36" s="86"/>
      <c r="M36" s="86"/>
      <c r="N36" s="86"/>
      <c r="O36" s="86"/>
      <c r="P36" s="86"/>
      <c r="Q36" s="86"/>
      <c r="R36" s="86"/>
      <c r="S36" s="86"/>
    </row>
    <row r="37" spans="1:19" ht="18" customHeight="1" x14ac:dyDescent="0.25">
      <c r="A37" s="51" t="s">
        <v>66</v>
      </c>
      <c r="B37" s="58">
        <f>AVERAGEIFS('📂 Raw Data'!J2:J217,'📂 Raw Data'!F2:F217,"Mid-Market")</f>
        <v>0.10937837837837842</v>
      </c>
      <c r="C37" s="3"/>
      <c r="D37" s="3"/>
      <c r="E37" s="3"/>
      <c r="F37" s="3"/>
      <c r="G37" s="3"/>
      <c r="H37" s="3"/>
      <c r="I37" s="3"/>
      <c r="J37" s="86"/>
      <c r="K37" s="86"/>
      <c r="L37" s="86"/>
      <c r="M37" s="86"/>
      <c r="N37" s="86"/>
      <c r="O37" s="86"/>
      <c r="P37" s="86"/>
      <c r="Q37" s="86"/>
      <c r="R37" s="86"/>
      <c r="S37" s="86"/>
    </row>
    <row r="38" spans="1:19" ht="18" customHeight="1" x14ac:dyDescent="0.25">
      <c r="A38" s="9" t="s">
        <v>69</v>
      </c>
      <c r="B38" s="57">
        <f>AVERAGEIFS('📂 Raw Data'!J2:J217,'📂 Raw Data'!F2:F217,"SMB")</f>
        <v>0.11982205882352943</v>
      </c>
      <c r="C38" s="3"/>
      <c r="D38" s="3"/>
      <c r="E38" s="3"/>
      <c r="F38" s="3"/>
      <c r="G38" s="3"/>
      <c r="H38" s="3"/>
      <c r="I38" s="3"/>
      <c r="J38" s="86"/>
      <c r="K38" s="86"/>
      <c r="L38" s="86"/>
      <c r="M38" s="86"/>
      <c r="N38" s="86"/>
      <c r="O38" s="86"/>
      <c r="P38" s="86"/>
      <c r="Q38" s="86"/>
      <c r="R38" s="86"/>
      <c r="S38" s="86"/>
    </row>
    <row r="39" spans="1:19" ht="1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86"/>
      <c r="K39" s="86"/>
      <c r="L39" s="86"/>
      <c r="M39" s="86"/>
      <c r="N39" s="86"/>
      <c r="O39" s="86"/>
      <c r="P39" s="86"/>
      <c r="Q39" s="86"/>
      <c r="R39" s="86"/>
      <c r="S39" s="86"/>
    </row>
    <row r="40" spans="1:19" ht="1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86"/>
      <c r="K40" s="86"/>
      <c r="L40" s="86"/>
      <c r="M40" s="86"/>
      <c r="N40" s="86"/>
      <c r="O40" s="86"/>
      <c r="P40" s="86"/>
      <c r="Q40" s="86"/>
      <c r="R40" s="86"/>
      <c r="S40" s="86"/>
    </row>
    <row r="41" spans="1:19" ht="1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86"/>
      <c r="K41" s="86"/>
      <c r="L41" s="86"/>
      <c r="M41" s="86"/>
      <c r="N41" s="86"/>
      <c r="O41" s="86"/>
      <c r="P41" s="86"/>
      <c r="Q41" s="86"/>
      <c r="R41" s="86"/>
      <c r="S41" s="86"/>
    </row>
    <row r="42" spans="1:19" ht="1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86"/>
      <c r="K42" s="86"/>
      <c r="L42" s="86"/>
      <c r="M42" s="86"/>
      <c r="N42" s="86"/>
      <c r="O42" s="86"/>
      <c r="P42" s="86"/>
      <c r="Q42" s="86"/>
      <c r="R42" s="86"/>
      <c r="S42" s="86"/>
    </row>
    <row r="43" spans="1:19" ht="1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86"/>
      <c r="K43" s="86"/>
      <c r="L43" s="86"/>
      <c r="M43" s="86"/>
      <c r="N43" s="86"/>
      <c r="O43" s="86"/>
      <c r="P43" s="86"/>
      <c r="Q43" s="86"/>
      <c r="R43" s="86"/>
      <c r="S43" s="86"/>
    </row>
    <row r="44" spans="1:19" ht="1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86"/>
      <c r="K44" s="86"/>
      <c r="L44" s="86"/>
      <c r="M44" s="86"/>
      <c r="N44" s="86"/>
      <c r="O44" s="86"/>
      <c r="P44" s="86"/>
      <c r="Q44" s="86"/>
      <c r="R44" s="86"/>
      <c r="S44" s="86"/>
    </row>
    <row r="45" spans="1:19" ht="1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86"/>
      <c r="K45" s="86"/>
      <c r="L45" s="86"/>
      <c r="M45" s="86"/>
      <c r="N45" s="86"/>
      <c r="O45" s="86"/>
      <c r="P45" s="86"/>
      <c r="Q45" s="86"/>
      <c r="R45" s="86"/>
      <c r="S45" s="86"/>
    </row>
    <row r="46" spans="1:19" ht="1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86"/>
      <c r="K46" s="86"/>
      <c r="L46" s="86"/>
      <c r="M46" s="86"/>
      <c r="N46" s="86"/>
      <c r="O46" s="86"/>
      <c r="P46" s="86"/>
      <c r="Q46" s="86"/>
      <c r="R46" s="86"/>
      <c r="S46" s="86"/>
    </row>
    <row r="47" spans="1:19" ht="1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86"/>
      <c r="K47" s="86"/>
      <c r="L47" s="86"/>
      <c r="M47" s="86"/>
      <c r="N47" s="86"/>
      <c r="O47" s="86"/>
      <c r="P47" s="86"/>
      <c r="Q47" s="86"/>
      <c r="R47" s="86"/>
      <c r="S47" s="86"/>
    </row>
    <row r="48" spans="1:19" ht="1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86"/>
      <c r="K48" s="86"/>
      <c r="L48" s="86"/>
      <c r="M48" s="86"/>
      <c r="N48" s="86"/>
      <c r="O48" s="86"/>
      <c r="P48" s="86"/>
      <c r="Q48" s="86"/>
      <c r="R48" s="86"/>
      <c r="S48" s="86"/>
    </row>
    <row r="49" spans="1:19" ht="1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86"/>
      <c r="K49" s="86"/>
      <c r="L49" s="86"/>
      <c r="M49" s="86"/>
      <c r="N49" s="86"/>
      <c r="O49" s="86"/>
      <c r="P49" s="86"/>
      <c r="Q49" s="86"/>
      <c r="R49" s="86"/>
      <c r="S49" s="86"/>
    </row>
    <row r="50" spans="1:19" ht="1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86"/>
      <c r="K50" s="86"/>
      <c r="L50" s="86"/>
      <c r="M50" s="86"/>
      <c r="N50" s="86"/>
      <c r="O50" s="86"/>
      <c r="P50" s="86"/>
      <c r="Q50" s="86"/>
      <c r="R50" s="86"/>
      <c r="S50" s="86"/>
    </row>
    <row r="51" spans="1:19" ht="1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86"/>
      <c r="K51" s="86"/>
      <c r="L51" s="86"/>
      <c r="M51" s="86"/>
      <c r="N51" s="86"/>
      <c r="O51" s="86"/>
      <c r="P51" s="86"/>
      <c r="Q51" s="86"/>
      <c r="R51" s="86"/>
      <c r="S51" s="86"/>
    </row>
    <row r="52" spans="1:19" ht="1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86"/>
      <c r="K52" s="86"/>
      <c r="L52" s="86"/>
      <c r="M52" s="86"/>
      <c r="N52" s="86"/>
      <c r="O52" s="86"/>
      <c r="P52" s="86"/>
      <c r="Q52" s="86"/>
      <c r="R52" s="86"/>
      <c r="S52" s="86"/>
    </row>
    <row r="53" spans="1:19" ht="1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86"/>
      <c r="K53" s="86"/>
      <c r="L53" s="86"/>
      <c r="M53" s="86"/>
      <c r="N53" s="86"/>
      <c r="O53" s="86"/>
      <c r="P53" s="86"/>
      <c r="Q53" s="86"/>
      <c r="R53" s="86"/>
      <c r="S53" s="86"/>
    </row>
    <row r="54" spans="1:19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86"/>
      <c r="K54" s="86"/>
      <c r="L54" s="86"/>
      <c r="M54" s="86"/>
      <c r="N54" s="86"/>
      <c r="O54" s="86"/>
      <c r="P54" s="86"/>
      <c r="Q54" s="86"/>
      <c r="R54" s="86"/>
      <c r="S54" s="86"/>
    </row>
    <row r="55" spans="1:19" ht="1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86"/>
      <c r="K55" s="86"/>
      <c r="L55" s="86"/>
      <c r="M55" s="86"/>
      <c r="N55" s="86"/>
      <c r="O55" s="86"/>
      <c r="P55" s="86"/>
      <c r="Q55" s="86"/>
      <c r="R55" s="86"/>
      <c r="S55" s="86"/>
    </row>
    <row r="56" spans="1:19" ht="1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86"/>
      <c r="K56" s="86"/>
      <c r="L56" s="86"/>
      <c r="M56" s="86"/>
      <c r="N56" s="86"/>
      <c r="O56" s="86"/>
      <c r="P56" s="86"/>
      <c r="Q56" s="86"/>
      <c r="R56" s="86"/>
      <c r="S56" s="86"/>
    </row>
    <row r="57" spans="1:19" ht="1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86"/>
      <c r="K57" s="86"/>
      <c r="L57" s="86"/>
      <c r="M57" s="86"/>
      <c r="N57" s="86"/>
      <c r="O57" s="86"/>
      <c r="P57" s="86"/>
      <c r="Q57" s="86"/>
      <c r="R57" s="86"/>
      <c r="S57" s="86"/>
    </row>
    <row r="58" spans="1:19" ht="1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86"/>
      <c r="K58" s="86"/>
      <c r="L58" s="86"/>
      <c r="M58" s="86"/>
      <c r="N58" s="86"/>
      <c r="O58" s="86"/>
      <c r="P58" s="86"/>
      <c r="Q58" s="86"/>
      <c r="R58" s="86"/>
      <c r="S58" s="86"/>
    </row>
    <row r="59" spans="1:19" ht="1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86"/>
      <c r="K59" s="86"/>
      <c r="L59" s="86"/>
      <c r="M59" s="86"/>
      <c r="N59" s="86"/>
      <c r="O59" s="86"/>
      <c r="P59" s="86"/>
      <c r="Q59" s="86"/>
      <c r="R59" s="86"/>
      <c r="S59" s="86"/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 tint="0.249977111117893"/>
  </sheetPr>
  <dimension ref="A1:AH80"/>
  <sheetViews>
    <sheetView showGridLines="0" tabSelected="1" topLeftCell="A24" zoomScaleNormal="100" workbookViewId="0">
      <selection activeCell="P54" sqref="P54"/>
    </sheetView>
  </sheetViews>
  <sheetFormatPr defaultColWidth="8.7109375" defaultRowHeight="15" x14ac:dyDescent="0.25"/>
  <cols>
    <col min="1" max="1" width="2" customWidth="1"/>
    <col min="2" max="18" width="8" customWidth="1"/>
    <col min="30" max="34" width="8.7109375" style="87"/>
  </cols>
  <sheetData>
    <row r="1" spans="1:34" ht="31.5" customHeight="1" x14ac:dyDescent="0.25">
      <c r="A1" s="3"/>
      <c r="B1" s="141" t="s">
        <v>152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86"/>
      <c r="AE1" s="86"/>
      <c r="AF1" s="86"/>
      <c r="AG1" s="86"/>
      <c r="AH1" s="86"/>
    </row>
    <row r="2" spans="1:34" ht="3" customHeight="1" x14ac:dyDescent="0.25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86"/>
      <c r="AE2" s="86"/>
      <c r="AF2" s="86"/>
      <c r="AG2" s="86"/>
      <c r="AH2" s="86"/>
    </row>
    <row r="3" spans="1:34" ht="13.5" customHeight="1" x14ac:dyDescent="0.25">
      <c r="A3" s="3"/>
      <c r="B3" s="1" t="s">
        <v>153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86"/>
      <c r="AE3" s="86"/>
      <c r="AF3" s="86"/>
      <c r="AG3" s="86"/>
      <c r="AH3" s="86"/>
    </row>
    <row r="4" spans="1:34" ht="15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86"/>
      <c r="AE4" s="86"/>
      <c r="AF4" s="86"/>
      <c r="AG4" s="86"/>
      <c r="AH4" s="86"/>
    </row>
    <row r="5" spans="1:34" ht="15" customHeight="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86"/>
      <c r="AE5" s="86"/>
      <c r="AF5" s="86"/>
      <c r="AG5" s="86"/>
      <c r="AH5" s="86"/>
    </row>
    <row r="6" spans="1:34" ht="1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86"/>
      <c r="AE6" s="86"/>
      <c r="AF6" s="86"/>
      <c r="AG6" s="86"/>
      <c r="AH6" s="86"/>
    </row>
    <row r="7" spans="1:34" ht="15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86"/>
      <c r="AE7" s="86"/>
      <c r="AF7" s="86"/>
      <c r="AG7" s="86"/>
      <c r="AH7" s="86"/>
    </row>
    <row r="8" spans="1:34" ht="15" customHeight="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86"/>
      <c r="AE8" s="86"/>
      <c r="AF8" s="86"/>
      <c r="AG8" s="86"/>
      <c r="AH8" s="86"/>
    </row>
    <row r="9" spans="1:34" ht="15" customHeigh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86"/>
      <c r="AE9" s="86"/>
      <c r="AF9" s="86"/>
      <c r="AG9" s="86"/>
      <c r="AH9" s="86"/>
    </row>
    <row r="10" spans="1:34" ht="15" customHeight="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86"/>
      <c r="AE10" s="86"/>
      <c r="AF10" s="86"/>
      <c r="AG10" s="86"/>
      <c r="AH10" s="86"/>
    </row>
    <row r="11" spans="1:34" ht="15" customHeight="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86"/>
      <c r="AE11" s="86"/>
      <c r="AF11" s="86"/>
      <c r="AG11" s="86"/>
      <c r="AH11" s="86"/>
    </row>
    <row r="12" spans="1:34" ht="15" customHeight="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86"/>
      <c r="AE12" s="86"/>
      <c r="AF12" s="86"/>
      <c r="AG12" s="86"/>
      <c r="AH12" s="86"/>
    </row>
    <row r="13" spans="1:34" ht="15" customHeight="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86"/>
      <c r="AE13" s="86"/>
      <c r="AF13" s="86"/>
      <c r="AG13" s="86"/>
      <c r="AH13" s="86"/>
    </row>
    <row r="14" spans="1:34" ht="15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86"/>
      <c r="AE14" s="86"/>
      <c r="AF14" s="86"/>
      <c r="AG14" s="86"/>
      <c r="AH14" s="86"/>
    </row>
    <row r="15" spans="1:34" ht="15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86"/>
      <c r="AE15" s="86"/>
      <c r="AF15" s="86"/>
      <c r="AG15" s="86"/>
      <c r="AH15" s="86"/>
    </row>
    <row r="16" spans="1:34" ht="15" customHeight="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86"/>
      <c r="AE16" s="86"/>
      <c r="AF16" s="86"/>
      <c r="AG16" s="86"/>
      <c r="AH16" s="86"/>
    </row>
    <row r="17" spans="1:34" ht="15" customHeight="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86"/>
      <c r="AE17" s="86"/>
      <c r="AF17" s="86"/>
      <c r="AG17" s="86"/>
      <c r="AH17" s="86"/>
    </row>
    <row r="18" spans="1:34" ht="15" customHeight="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86"/>
      <c r="AE18" s="86"/>
      <c r="AF18" s="86"/>
      <c r="AG18" s="86"/>
      <c r="AH18" s="86"/>
    </row>
    <row r="19" spans="1:34" ht="15" customHeight="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86"/>
      <c r="AE19" s="86"/>
      <c r="AF19" s="86"/>
      <c r="AG19" s="86"/>
      <c r="AH19" s="86"/>
    </row>
    <row r="20" spans="1:34" ht="15" customHeight="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86"/>
      <c r="AE20" s="86"/>
      <c r="AF20" s="86"/>
      <c r="AG20" s="86"/>
      <c r="AH20" s="86"/>
    </row>
    <row r="21" spans="1:34" ht="15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86"/>
      <c r="AE21" s="86"/>
      <c r="AF21" s="86"/>
      <c r="AG21" s="86"/>
      <c r="AH21" s="86"/>
    </row>
    <row r="22" spans="1:34" ht="1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86"/>
      <c r="AE22" s="86"/>
      <c r="AF22" s="86"/>
      <c r="AG22" s="86"/>
      <c r="AH22" s="86"/>
    </row>
    <row r="23" spans="1:34" ht="1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86"/>
      <c r="AE23" s="86"/>
      <c r="AF23" s="86"/>
      <c r="AG23" s="86"/>
      <c r="AH23" s="86"/>
    </row>
    <row r="24" spans="1:34" ht="1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86"/>
      <c r="AE24" s="86"/>
      <c r="AF24" s="86"/>
      <c r="AG24" s="86"/>
      <c r="AH24" s="86"/>
    </row>
    <row r="25" spans="1:34" ht="1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86"/>
      <c r="AE25" s="86"/>
      <c r="AF25" s="86"/>
      <c r="AG25" s="86"/>
      <c r="AH25" s="86"/>
    </row>
    <row r="26" spans="1:34" ht="1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86"/>
      <c r="AE26" s="86"/>
      <c r="AF26" s="86"/>
      <c r="AG26" s="86"/>
      <c r="AH26" s="86"/>
    </row>
    <row r="27" spans="1:34" ht="1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86"/>
      <c r="AE27" s="86"/>
      <c r="AF27" s="86"/>
      <c r="AG27" s="86"/>
      <c r="AH27" s="86"/>
    </row>
    <row r="28" spans="1:34" ht="1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86"/>
      <c r="AE28" s="86"/>
      <c r="AF28" s="86"/>
      <c r="AG28" s="86"/>
      <c r="AH28" s="86"/>
    </row>
    <row r="29" spans="1:34" ht="1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86"/>
      <c r="AE29" s="86"/>
      <c r="AF29" s="86"/>
      <c r="AG29" s="86"/>
      <c r="AH29" s="86"/>
    </row>
    <row r="30" spans="1:34" ht="1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86"/>
      <c r="AE30" s="86"/>
      <c r="AF30" s="86"/>
      <c r="AG30" s="86"/>
      <c r="AH30" s="86"/>
    </row>
    <row r="31" spans="1:34" ht="1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86"/>
      <c r="AE31" s="86"/>
      <c r="AF31" s="86"/>
      <c r="AG31" s="86"/>
      <c r="AH31" s="86"/>
    </row>
    <row r="32" spans="1:34" ht="1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86"/>
      <c r="AE32" s="86"/>
      <c r="AF32" s="86"/>
      <c r="AG32" s="86"/>
      <c r="AH32" s="86"/>
    </row>
    <row r="33" spans="1:34" ht="1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86"/>
      <c r="AE33" s="86"/>
      <c r="AF33" s="86"/>
      <c r="AG33" s="86"/>
      <c r="AH33" s="86"/>
    </row>
    <row r="34" spans="1:34" ht="1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86"/>
      <c r="AE34" s="86"/>
      <c r="AF34" s="86"/>
      <c r="AG34" s="86"/>
      <c r="AH34" s="86"/>
    </row>
    <row r="35" spans="1:34" ht="1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86"/>
      <c r="AE35" s="86"/>
      <c r="AF35" s="86"/>
      <c r="AG35" s="86"/>
      <c r="AH35" s="86"/>
    </row>
    <row r="36" spans="1:34" ht="1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86"/>
      <c r="AE36" s="86"/>
      <c r="AF36" s="86"/>
      <c r="AG36" s="86"/>
      <c r="AH36" s="86"/>
    </row>
    <row r="37" spans="1:34" ht="1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86"/>
      <c r="AE37" s="86"/>
      <c r="AF37" s="86"/>
      <c r="AG37" s="86"/>
      <c r="AH37" s="86"/>
    </row>
    <row r="38" spans="1:34" ht="1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86"/>
      <c r="AE38" s="86"/>
      <c r="AF38" s="86"/>
      <c r="AG38" s="86"/>
      <c r="AH38" s="86"/>
    </row>
    <row r="39" spans="1:34" ht="1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86"/>
      <c r="AE39" s="86"/>
      <c r="AF39" s="86"/>
      <c r="AG39" s="86"/>
      <c r="AH39" s="86"/>
    </row>
    <row r="40" spans="1:34" ht="1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86"/>
      <c r="AE40" s="86"/>
      <c r="AF40" s="86"/>
      <c r="AG40" s="86"/>
      <c r="AH40" s="86"/>
    </row>
    <row r="41" spans="1:34" ht="1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86"/>
      <c r="AE41" s="86"/>
      <c r="AF41" s="86"/>
      <c r="AG41" s="86"/>
      <c r="AH41" s="86"/>
    </row>
    <row r="42" spans="1:34" ht="1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86"/>
      <c r="AE42" s="86"/>
      <c r="AF42" s="86"/>
      <c r="AG42" s="86"/>
      <c r="AH42" s="86"/>
    </row>
    <row r="43" spans="1:34" ht="1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86"/>
      <c r="AE43" s="86"/>
      <c r="AF43" s="86"/>
      <c r="AG43" s="86"/>
      <c r="AH43" s="86"/>
    </row>
    <row r="44" spans="1:34" ht="1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86"/>
      <c r="AE44" s="86"/>
      <c r="AF44" s="86"/>
      <c r="AG44" s="86"/>
      <c r="AH44" s="86"/>
    </row>
    <row r="45" spans="1:34" ht="1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86"/>
      <c r="AE45" s="86"/>
      <c r="AF45" s="86"/>
      <c r="AG45" s="86"/>
      <c r="AH45" s="86"/>
    </row>
    <row r="46" spans="1:34" ht="1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86"/>
      <c r="AE46" s="86"/>
      <c r="AF46" s="86"/>
      <c r="AG46" s="86"/>
      <c r="AH46" s="86"/>
    </row>
    <row r="47" spans="1:34" ht="1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86"/>
      <c r="AE47" s="86"/>
      <c r="AF47" s="86"/>
      <c r="AG47" s="86"/>
      <c r="AH47" s="86"/>
    </row>
    <row r="48" spans="1:34" ht="1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86"/>
      <c r="AE48" s="86"/>
      <c r="AF48" s="86"/>
      <c r="AG48" s="86"/>
      <c r="AH48" s="86"/>
    </row>
    <row r="49" spans="1:34" ht="1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86"/>
      <c r="AE49" s="86"/>
      <c r="AF49" s="86"/>
      <c r="AG49" s="86"/>
      <c r="AH49" s="86"/>
    </row>
    <row r="50" spans="1:34" ht="1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86"/>
      <c r="AE50" s="86"/>
      <c r="AF50" s="86"/>
      <c r="AG50" s="86"/>
      <c r="AH50" s="86"/>
    </row>
    <row r="51" spans="1:34" s="87" customFormat="1" ht="15" customHeight="1" x14ac:dyDescent="0.25">
      <c r="A51" s="86"/>
      <c r="B51" s="86"/>
      <c r="C51" s="86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</row>
    <row r="52" spans="1:34" s="87" customFormat="1" ht="15" customHeight="1" x14ac:dyDescent="0.25">
      <c r="A52" s="86"/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</row>
    <row r="53" spans="1:34" s="87" customFormat="1" ht="15" customHeight="1" x14ac:dyDescent="0.25">
      <c r="A53" s="86"/>
      <c r="B53" s="86"/>
      <c r="C53" s="86"/>
      <c r="D53" s="86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</row>
    <row r="54" spans="1:34" s="87" customFormat="1" ht="15" customHeight="1" x14ac:dyDescent="0.25">
      <c r="A54" s="86"/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</row>
    <row r="55" spans="1:34" s="87" customFormat="1" ht="15" customHeight="1" x14ac:dyDescent="0.25">
      <c r="A55" s="86"/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</row>
    <row r="56" spans="1:34" s="87" customFormat="1" ht="15" customHeight="1" x14ac:dyDescent="0.25">
      <c r="A56" s="86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</row>
    <row r="57" spans="1:34" s="87" customFormat="1" ht="15" customHeight="1" x14ac:dyDescent="0.25">
      <c r="A57" s="86"/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</row>
    <row r="58" spans="1:34" s="87" customFormat="1" ht="15" customHeight="1" x14ac:dyDescent="0.25">
      <c r="A58" s="86"/>
      <c r="B58" s="86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</row>
    <row r="59" spans="1:34" s="87" customFormat="1" ht="15" customHeight="1" x14ac:dyDescent="0.25">
      <c r="A59" s="86"/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</row>
    <row r="60" spans="1:34" s="87" customFormat="1" ht="15" customHeight="1" x14ac:dyDescent="0.25">
      <c r="A60" s="86"/>
      <c r="B60" s="86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</row>
    <row r="61" spans="1:34" s="87" customFormat="1" ht="15" customHeight="1" x14ac:dyDescent="0.25">
      <c r="A61" s="86"/>
      <c r="B61" s="86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</row>
    <row r="62" spans="1:34" s="87" customFormat="1" ht="15" customHeight="1" x14ac:dyDescent="0.25">
      <c r="A62" s="86"/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</row>
    <row r="63" spans="1:34" s="87" customFormat="1" ht="15" customHeight="1" x14ac:dyDescent="0.25">
      <c r="A63" s="86"/>
      <c r="B63" s="86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</row>
    <row r="64" spans="1:34" s="87" customFormat="1" ht="15" customHeight="1" x14ac:dyDescent="0.25">
      <c r="A64" s="86"/>
      <c r="B64" s="86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</row>
    <row r="65" spans="1:34" s="87" customFormat="1" ht="15" customHeight="1" x14ac:dyDescent="0.25">
      <c r="A65" s="86"/>
      <c r="B65" s="86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</row>
    <row r="66" spans="1:34" s="87" customFormat="1" ht="15" customHeight="1" x14ac:dyDescent="0.25">
      <c r="A66" s="86"/>
      <c r="B66" s="86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</row>
    <row r="67" spans="1:34" s="87" customFormat="1" ht="15" customHeight="1" x14ac:dyDescent="0.25">
      <c r="A67" s="86"/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</row>
    <row r="68" spans="1:34" s="87" customFormat="1" ht="15" customHeight="1" x14ac:dyDescent="0.25">
      <c r="A68" s="86"/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</row>
    <row r="69" spans="1:34" s="87" customFormat="1" ht="15" customHeight="1" x14ac:dyDescent="0.25">
      <c r="A69" s="86"/>
      <c r="B69" s="8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</row>
    <row r="70" spans="1:34" s="87" customFormat="1" ht="15" customHeight="1" x14ac:dyDescent="0.25">
      <c r="A70" s="86"/>
      <c r="B70" s="8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</row>
    <row r="71" spans="1:34" s="87" customFormat="1" ht="15" customHeight="1" x14ac:dyDescent="0.25">
      <c r="A71" s="86"/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</row>
    <row r="72" spans="1:34" s="87" customFormat="1" ht="15" customHeight="1" x14ac:dyDescent="0.25">
      <c r="A72" s="86"/>
      <c r="B72" s="8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</row>
    <row r="73" spans="1:34" s="87" customFormat="1" ht="15" customHeight="1" x14ac:dyDescent="0.25">
      <c r="A73" s="86"/>
      <c r="B73" s="8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</row>
    <row r="74" spans="1:34" s="87" customFormat="1" ht="15" customHeight="1" x14ac:dyDescent="0.25">
      <c r="A74" s="86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</row>
    <row r="75" spans="1:34" s="87" customFormat="1" ht="15" customHeight="1" x14ac:dyDescent="0.25">
      <c r="A75" s="86"/>
      <c r="B75" s="86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</row>
    <row r="76" spans="1:34" s="87" customFormat="1" ht="15" customHeight="1" x14ac:dyDescent="0.25">
      <c r="A76" s="86"/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</row>
    <row r="77" spans="1:34" s="87" customFormat="1" ht="15" customHeight="1" x14ac:dyDescent="0.25">
      <c r="A77" s="86"/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</row>
    <row r="78" spans="1:34" s="87" customFormat="1" ht="15" customHeight="1" x14ac:dyDescent="0.25">
      <c r="A78" s="86"/>
      <c r="B78" s="8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</row>
    <row r="79" spans="1:34" s="87" customFormat="1" ht="15" customHeight="1" x14ac:dyDescent="0.25">
      <c r="A79" s="86"/>
      <c r="B79" s="8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</row>
    <row r="80" spans="1:34" s="87" customFormat="1" x14ac:dyDescent="0.25"/>
  </sheetData>
  <mergeCells count="1">
    <mergeCell ref="B1:R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Y224"/>
  <sheetViews>
    <sheetView showGridLines="0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7" sqref="L7"/>
    </sheetView>
  </sheetViews>
  <sheetFormatPr defaultColWidth="8.7109375" defaultRowHeight="15" x14ac:dyDescent="0.25"/>
  <cols>
    <col min="1" max="1" width="3" customWidth="1"/>
    <col min="2" max="2" width="14" customWidth="1"/>
    <col min="3" max="3" width="18" customWidth="1"/>
    <col min="4" max="5" width="14" customWidth="1"/>
    <col min="6" max="6" width="16.5703125" customWidth="1"/>
    <col min="7" max="7" width="12" customWidth="1"/>
    <col min="8" max="9" width="14" customWidth="1"/>
    <col min="10" max="10" width="12.140625" customWidth="1"/>
    <col min="11" max="11" width="12.28515625" customWidth="1"/>
    <col min="12" max="12" width="21.5703125" customWidth="1"/>
    <col min="13" max="13" width="17.7109375" customWidth="1"/>
    <col min="14" max="15" width="14" customWidth="1"/>
    <col min="16" max="16" width="10" customWidth="1"/>
    <col min="17" max="17" width="14.7109375" bestFit="1" customWidth="1"/>
    <col min="19" max="19" width="11.140625" customWidth="1"/>
    <col min="20" max="20" width="2" customWidth="1"/>
    <col min="21" max="21" width="18" customWidth="1"/>
    <col min="22" max="22" width="16" customWidth="1"/>
    <col min="23" max="23" width="20" customWidth="1"/>
    <col min="24" max="24" width="18" customWidth="1"/>
    <col min="25" max="25" width="14" customWidth="1"/>
  </cols>
  <sheetData>
    <row r="1" spans="1:25" ht="21" customHeight="1" x14ac:dyDescent="0.25">
      <c r="B1" s="115" t="s">
        <v>115</v>
      </c>
      <c r="C1" s="115" t="s">
        <v>57</v>
      </c>
      <c r="D1" s="115" t="s">
        <v>59</v>
      </c>
      <c r="E1" s="115" t="s">
        <v>72</v>
      </c>
      <c r="F1" s="115" t="s">
        <v>151</v>
      </c>
      <c r="G1" s="115" t="s">
        <v>249</v>
      </c>
      <c r="H1" s="115" t="s">
        <v>250</v>
      </c>
      <c r="I1" s="115" t="s">
        <v>116</v>
      </c>
      <c r="J1" s="115" t="s">
        <v>251</v>
      </c>
      <c r="K1" s="115" t="s">
        <v>58</v>
      </c>
      <c r="L1" s="115" t="s">
        <v>252</v>
      </c>
      <c r="M1" s="115" t="s">
        <v>186</v>
      </c>
      <c r="N1" s="115" t="s">
        <v>117</v>
      </c>
      <c r="O1" s="115" t="s">
        <v>118</v>
      </c>
      <c r="P1" s="115" t="s">
        <v>253</v>
      </c>
      <c r="Q1" s="115" t="s">
        <v>254</v>
      </c>
      <c r="R1" s="115" t="s">
        <v>255</v>
      </c>
      <c r="S1" s="115" t="s">
        <v>256</v>
      </c>
      <c r="T1" s="3"/>
      <c r="U1" s="54" t="s">
        <v>257</v>
      </c>
      <c r="V1" s="54" t="s">
        <v>258</v>
      </c>
      <c r="W1" s="54" t="s">
        <v>259</v>
      </c>
      <c r="X1" s="54" t="s">
        <v>260</v>
      </c>
      <c r="Y1" s="55" t="s">
        <v>261</v>
      </c>
    </row>
    <row r="2" spans="1:25" ht="15" customHeight="1" x14ac:dyDescent="0.25">
      <c r="A2" s="70"/>
      <c r="B2" s="33" t="s">
        <v>122</v>
      </c>
      <c r="C2" s="33" t="s">
        <v>61</v>
      </c>
      <c r="D2" s="33" t="s">
        <v>65</v>
      </c>
      <c r="E2" s="33" t="s">
        <v>81</v>
      </c>
      <c r="F2" s="33" t="s">
        <v>63</v>
      </c>
      <c r="G2" s="71">
        <v>110</v>
      </c>
      <c r="H2" s="72">
        <v>433.34</v>
      </c>
      <c r="I2" s="72">
        <v>47667.6</v>
      </c>
      <c r="J2" s="73">
        <v>8.3500000000000005E-2</v>
      </c>
      <c r="K2" s="72">
        <v>43687.64</v>
      </c>
      <c r="L2" s="72">
        <v>5516.06</v>
      </c>
      <c r="M2" s="72">
        <v>49203.7</v>
      </c>
      <c r="N2" s="72">
        <v>524251.71</v>
      </c>
      <c r="O2" s="72">
        <v>43687.64</v>
      </c>
      <c r="P2" s="33" t="s">
        <v>262</v>
      </c>
      <c r="Q2" s="74">
        <v>45292</v>
      </c>
      <c r="R2" s="33">
        <v>2024</v>
      </c>
      <c r="S2" s="33">
        <v>1</v>
      </c>
      <c r="T2" s="3"/>
      <c r="U2" s="67" t="b">
        <f t="shared" ref="U2:U65" si="0">IF(I2=0,"N/A",ABS(I2*(1-J2)-K2)/I2&lt;0.001)</f>
        <v>1</v>
      </c>
      <c r="V2" s="67" t="b">
        <f t="shared" ref="V2:V65" si="1">ABS(N2-O2*12)&lt;=1</f>
        <v>1</v>
      </c>
      <c r="W2" s="67" t="b">
        <f t="shared" ref="W2:W65" si="2">ABS(K2+L2-M2)&lt;=1</f>
        <v>1</v>
      </c>
      <c r="X2" s="67" t="b">
        <f t="shared" ref="X2:X65" si="3">AND(B2&lt;&gt;"",C2&lt;&gt;"",K2&lt;&gt;0,N2&lt;&gt;0)</f>
        <v>1</v>
      </c>
      <c r="Y2" s="75" t="str">
        <f t="shared" ref="Y2:Y65" si="4">IF(AND(OR(U2=TRUE(),U2="N/A"),V2=TRUE(),W2=TRUE(),X2=TRUE()),"✅ PASS","❌ FAIL")</f>
        <v>✅ PASS</v>
      </c>
    </row>
    <row r="3" spans="1:25" ht="15" customHeight="1" x14ac:dyDescent="0.25">
      <c r="A3" s="76"/>
      <c r="B3" s="37" t="s">
        <v>122</v>
      </c>
      <c r="C3" s="37" t="s">
        <v>61</v>
      </c>
      <c r="D3" s="37" t="s">
        <v>62</v>
      </c>
      <c r="E3" s="37" t="s">
        <v>81</v>
      </c>
      <c r="F3" s="37" t="s">
        <v>63</v>
      </c>
      <c r="G3" s="77">
        <v>200</v>
      </c>
      <c r="H3" s="78">
        <v>238.48</v>
      </c>
      <c r="I3" s="78">
        <v>47695.65</v>
      </c>
      <c r="J3" s="79">
        <v>7.0000000000000001E-3</v>
      </c>
      <c r="K3" s="78">
        <v>47363.72</v>
      </c>
      <c r="L3" s="78">
        <v>-593.75</v>
      </c>
      <c r="M3" s="78">
        <v>46769.97</v>
      </c>
      <c r="N3" s="78">
        <v>568364.62</v>
      </c>
      <c r="O3" s="78">
        <v>47363.72</v>
      </c>
      <c r="P3" s="37" t="s">
        <v>262</v>
      </c>
      <c r="Q3" s="80">
        <v>45292</v>
      </c>
      <c r="R3" s="37">
        <v>2024</v>
      </c>
      <c r="S3" s="37">
        <v>1</v>
      </c>
      <c r="T3" s="3"/>
      <c r="U3" s="68" t="b">
        <f t="shared" si="0"/>
        <v>1</v>
      </c>
      <c r="V3" s="68" t="b">
        <f t="shared" si="1"/>
        <v>1</v>
      </c>
      <c r="W3" s="68" t="b">
        <f t="shared" si="2"/>
        <v>1</v>
      </c>
      <c r="X3" s="68" t="b">
        <f t="shared" si="3"/>
        <v>1</v>
      </c>
      <c r="Y3" s="69" t="str">
        <f t="shared" si="4"/>
        <v>✅ PASS</v>
      </c>
    </row>
    <row r="4" spans="1:25" ht="15" customHeight="1" x14ac:dyDescent="0.25">
      <c r="A4" s="70"/>
      <c r="B4" s="33" t="s">
        <v>122</v>
      </c>
      <c r="C4" s="33" t="s">
        <v>61</v>
      </c>
      <c r="D4" s="33" t="s">
        <v>68</v>
      </c>
      <c r="E4" s="33" t="s">
        <v>75</v>
      </c>
      <c r="F4" s="33" t="s">
        <v>69</v>
      </c>
      <c r="G4" s="71">
        <v>160</v>
      </c>
      <c r="H4" s="72">
        <v>282.74</v>
      </c>
      <c r="I4" s="72">
        <v>45238.07</v>
      </c>
      <c r="J4" s="81">
        <v>0.16170000000000001</v>
      </c>
      <c r="K4" s="72">
        <v>37921.360000000001</v>
      </c>
      <c r="L4" s="72">
        <v>1531.35</v>
      </c>
      <c r="M4" s="72">
        <v>39452.71</v>
      </c>
      <c r="N4" s="72">
        <v>455056.36</v>
      </c>
      <c r="O4" s="72">
        <v>37921.360000000001</v>
      </c>
      <c r="P4" s="33" t="s">
        <v>262</v>
      </c>
      <c r="Q4" s="74">
        <v>45292</v>
      </c>
      <c r="R4" s="33">
        <v>2024</v>
      </c>
      <c r="S4" s="33">
        <v>1</v>
      </c>
      <c r="T4" s="3"/>
      <c r="U4" s="67" t="b">
        <f t="shared" si="0"/>
        <v>1</v>
      </c>
      <c r="V4" s="67" t="b">
        <f t="shared" si="1"/>
        <v>1</v>
      </c>
      <c r="W4" s="67" t="b">
        <f t="shared" si="2"/>
        <v>1</v>
      </c>
      <c r="X4" s="67" t="b">
        <f t="shared" si="3"/>
        <v>1</v>
      </c>
      <c r="Y4" s="75" t="str">
        <f t="shared" si="4"/>
        <v>✅ PASS</v>
      </c>
    </row>
    <row r="5" spans="1:25" ht="15" customHeight="1" x14ac:dyDescent="0.25">
      <c r="A5" s="76"/>
      <c r="B5" s="37" t="s">
        <v>122</v>
      </c>
      <c r="C5" s="37" t="s">
        <v>67</v>
      </c>
      <c r="D5" s="37" t="s">
        <v>65</v>
      </c>
      <c r="E5" s="37" t="s">
        <v>78</v>
      </c>
      <c r="F5" s="37" t="s">
        <v>63</v>
      </c>
      <c r="G5" s="77">
        <v>61</v>
      </c>
      <c r="H5" s="78">
        <v>923.33</v>
      </c>
      <c r="I5" s="78">
        <v>56323.19</v>
      </c>
      <c r="J5" s="79">
        <v>4.7E-2</v>
      </c>
      <c r="K5" s="78">
        <v>53673.78</v>
      </c>
      <c r="L5" s="78">
        <v>7746.1</v>
      </c>
      <c r="M5" s="78">
        <v>61419.88</v>
      </c>
      <c r="N5" s="78">
        <v>644085.31999999995</v>
      </c>
      <c r="O5" s="78">
        <v>53673.78</v>
      </c>
      <c r="P5" s="37" t="s">
        <v>262</v>
      </c>
      <c r="Q5" s="80">
        <v>45292</v>
      </c>
      <c r="R5" s="37">
        <v>2024</v>
      </c>
      <c r="S5" s="37">
        <v>1</v>
      </c>
      <c r="T5" s="3"/>
      <c r="U5" s="68" t="b">
        <f t="shared" si="0"/>
        <v>1</v>
      </c>
      <c r="V5" s="68" t="b">
        <f t="shared" si="1"/>
        <v>1</v>
      </c>
      <c r="W5" s="68" t="b">
        <f t="shared" si="2"/>
        <v>1</v>
      </c>
      <c r="X5" s="68" t="b">
        <f t="shared" si="3"/>
        <v>1</v>
      </c>
      <c r="Y5" s="69" t="str">
        <f t="shared" si="4"/>
        <v>✅ PASS</v>
      </c>
    </row>
    <row r="6" spans="1:25" ht="15" customHeight="1" x14ac:dyDescent="0.25">
      <c r="A6" s="70"/>
      <c r="B6" s="33" t="s">
        <v>122</v>
      </c>
      <c r="C6" s="33" t="s">
        <v>67</v>
      </c>
      <c r="D6" s="33" t="s">
        <v>62</v>
      </c>
      <c r="E6" s="33" t="s">
        <v>81</v>
      </c>
      <c r="F6" s="33" t="s">
        <v>63</v>
      </c>
      <c r="G6" s="71">
        <v>256</v>
      </c>
      <c r="H6" s="72">
        <v>760.23</v>
      </c>
      <c r="I6" s="72">
        <v>194618.79</v>
      </c>
      <c r="J6" s="81">
        <v>0.18870000000000001</v>
      </c>
      <c r="K6" s="72">
        <v>157895.81</v>
      </c>
      <c r="L6" s="72">
        <v>6840.98</v>
      </c>
      <c r="M6" s="72">
        <v>164736.79</v>
      </c>
      <c r="N6" s="72">
        <v>1894749.78</v>
      </c>
      <c r="O6" s="72">
        <v>157895.81</v>
      </c>
      <c r="P6" s="33" t="s">
        <v>262</v>
      </c>
      <c r="Q6" s="74">
        <v>45292</v>
      </c>
      <c r="R6" s="33">
        <v>2024</v>
      </c>
      <c r="S6" s="33">
        <v>1</v>
      </c>
      <c r="T6" s="3"/>
      <c r="U6" s="67" t="b">
        <f t="shared" si="0"/>
        <v>1</v>
      </c>
      <c r="V6" s="67" t="b">
        <f t="shared" si="1"/>
        <v>1</v>
      </c>
      <c r="W6" s="67" t="b">
        <f t="shared" si="2"/>
        <v>1</v>
      </c>
      <c r="X6" s="67" t="b">
        <f t="shared" si="3"/>
        <v>1</v>
      </c>
      <c r="Y6" s="75" t="str">
        <f t="shared" si="4"/>
        <v>✅ PASS</v>
      </c>
    </row>
    <row r="7" spans="1:25" ht="15" customHeight="1" x14ac:dyDescent="0.25">
      <c r="A7" s="76"/>
      <c r="B7" s="37" t="s">
        <v>122</v>
      </c>
      <c r="C7" s="37" t="s">
        <v>67</v>
      </c>
      <c r="D7" s="37" t="s">
        <v>68</v>
      </c>
      <c r="E7" s="37" t="s">
        <v>78</v>
      </c>
      <c r="F7" s="37" t="s">
        <v>66</v>
      </c>
      <c r="G7" s="77">
        <v>227</v>
      </c>
      <c r="H7" s="78">
        <v>350.25</v>
      </c>
      <c r="I7" s="78">
        <v>79506.759999999995</v>
      </c>
      <c r="J7" s="79">
        <v>6.54E-2</v>
      </c>
      <c r="K7" s="78">
        <v>74305.119999999995</v>
      </c>
      <c r="L7" s="78">
        <v>1140.43</v>
      </c>
      <c r="M7" s="78">
        <v>75445.56</v>
      </c>
      <c r="N7" s="78">
        <v>891661.48</v>
      </c>
      <c r="O7" s="78">
        <v>74305.119999999995</v>
      </c>
      <c r="P7" s="37" t="s">
        <v>262</v>
      </c>
      <c r="Q7" s="80">
        <v>45292</v>
      </c>
      <c r="R7" s="37">
        <v>2024</v>
      </c>
      <c r="S7" s="37">
        <v>1</v>
      </c>
      <c r="T7" s="3"/>
      <c r="U7" s="68" t="b">
        <f t="shared" si="0"/>
        <v>1</v>
      </c>
      <c r="V7" s="68" t="b">
        <f t="shared" si="1"/>
        <v>1</v>
      </c>
      <c r="W7" s="68" t="b">
        <f t="shared" si="2"/>
        <v>1</v>
      </c>
      <c r="X7" s="68" t="b">
        <f t="shared" si="3"/>
        <v>1</v>
      </c>
      <c r="Y7" s="69" t="str">
        <f t="shared" si="4"/>
        <v>✅ PASS</v>
      </c>
    </row>
    <row r="8" spans="1:25" ht="15" customHeight="1" x14ac:dyDescent="0.25">
      <c r="A8" s="70"/>
      <c r="B8" s="33" t="s">
        <v>122</v>
      </c>
      <c r="C8" s="33" t="s">
        <v>64</v>
      </c>
      <c r="D8" s="33" t="s">
        <v>65</v>
      </c>
      <c r="E8" s="33" t="s">
        <v>75</v>
      </c>
      <c r="F8" s="33" t="s">
        <v>66</v>
      </c>
      <c r="G8" s="71">
        <v>195</v>
      </c>
      <c r="H8" s="72">
        <v>583.64</v>
      </c>
      <c r="I8" s="72">
        <v>113809.71</v>
      </c>
      <c r="J8" s="81">
        <v>0.24349999999999999</v>
      </c>
      <c r="K8" s="72">
        <v>86092.9</v>
      </c>
      <c r="L8" s="72">
        <v>-3596.69</v>
      </c>
      <c r="M8" s="72">
        <v>82496.2</v>
      </c>
      <c r="N8" s="72">
        <v>1033114.75</v>
      </c>
      <c r="O8" s="72">
        <v>86092.9</v>
      </c>
      <c r="P8" s="33" t="s">
        <v>262</v>
      </c>
      <c r="Q8" s="74">
        <v>45292</v>
      </c>
      <c r="R8" s="33">
        <v>2024</v>
      </c>
      <c r="S8" s="33">
        <v>1</v>
      </c>
      <c r="T8" s="3"/>
      <c r="U8" s="67" t="b">
        <f t="shared" si="0"/>
        <v>1</v>
      </c>
      <c r="V8" s="67" t="b">
        <f t="shared" si="1"/>
        <v>1</v>
      </c>
      <c r="W8" s="67" t="b">
        <f t="shared" si="2"/>
        <v>1</v>
      </c>
      <c r="X8" s="67" t="b">
        <f t="shared" si="3"/>
        <v>1</v>
      </c>
      <c r="Y8" s="75" t="str">
        <f t="shared" si="4"/>
        <v>✅ PASS</v>
      </c>
    </row>
    <row r="9" spans="1:25" ht="15" customHeight="1" x14ac:dyDescent="0.25">
      <c r="A9" s="76"/>
      <c r="B9" s="37" t="s">
        <v>122</v>
      </c>
      <c r="C9" s="37" t="s">
        <v>64</v>
      </c>
      <c r="D9" s="37" t="s">
        <v>62</v>
      </c>
      <c r="E9" s="37" t="s">
        <v>81</v>
      </c>
      <c r="F9" s="37" t="s">
        <v>69</v>
      </c>
      <c r="G9" s="77">
        <v>103</v>
      </c>
      <c r="H9" s="78">
        <v>914.43</v>
      </c>
      <c r="I9" s="78">
        <v>94186.23</v>
      </c>
      <c r="J9" s="79">
        <v>7.0499999999999993E-2</v>
      </c>
      <c r="K9" s="78">
        <v>87548.64</v>
      </c>
      <c r="L9" s="78">
        <v>-371.14</v>
      </c>
      <c r="M9" s="78">
        <v>87177.5</v>
      </c>
      <c r="N9" s="78">
        <v>1050583.7</v>
      </c>
      <c r="O9" s="78">
        <v>87548.64</v>
      </c>
      <c r="P9" s="37" t="s">
        <v>262</v>
      </c>
      <c r="Q9" s="80">
        <v>45292</v>
      </c>
      <c r="R9" s="37">
        <v>2024</v>
      </c>
      <c r="S9" s="37">
        <v>1</v>
      </c>
      <c r="T9" s="3"/>
      <c r="U9" s="68" t="b">
        <f t="shared" si="0"/>
        <v>1</v>
      </c>
      <c r="V9" s="68" t="b">
        <f t="shared" si="1"/>
        <v>1</v>
      </c>
      <c r="W9" s="68" t="b">
        <f t="shared" si="2"/>
        <v>1</v>
      </c>
      <c r="X9" s="68" t="b">
        <f t="shared" si="3"/>
        <v>1</v>
      </c>
      <c r="Y9" s="69" t="str">
        <f t="shared" si="4"/>
        <v>✅ PASS</v>
      </c>
    </row>
    <row r="10" spans="1:25" ht="15" customHeight="1" x14ac:dyDescent="0.25">
      <c r="A10" s="70"/>
      <c r="B10" s="33" t="s">
        <v>122</v>
      </c>
      <c r="C10" s="33" t="s">
        <v>64</v>
      </c>
      <c r="D10" s="33" t="s">
        <v>68</v>
      </c>
      <c r="E10" s="33" t="s">
        <v>81</v>
      </c>
      <c r="F10" s="33" t="s">
        <v>69</v>
      </c>
      <c r="G10" s="71">
        <v>79</v>
      </c>
      <c r="H10" s="72">
        <v>1021.87</v>
      </c>
      <c r="I10" s="72">
        <v>80727.83</v>
      </c>
      <c r="J10" s="81">
        <v>0.20080000000000001</v>
      </c>
      <c r="K10" s="72">
        <v>64514.49</v>
      </c>
      <c r="L10" s="72">
        <v>-3223.82</v>
      </c>
      <c r="M10" s="72">
        <v>61290.67</v>
      </c>
      <c r="N10" s="72">
        <v>774173.92</v>
      </c>
      <c r="O10" s="72">
        <v>64514.49</v>
      </c>
      <c r="P10" s="33" t="s">
        <v>262</v>
      </c>
      <c r="Q10" s="74">
        <v>45292</v>
      </c>
      <c r="R10" s="33">
        <v>2024</v>
      </c>
      <c r="S10" s="33">
        <v>1</v>
      </c>
      <c r="T10" s="3"/>
      <c r="U10" s="67" t="b">
        <f t="shared" si="0"/>
        <v>1</v>
      </c>
      <c r="V10" s="67" t="b">
        <f t="shared" si="1"/>
        <v>1</v>
      </c>
      <c r="W10" s="67" t="b">
        <f t="shared" si="2"/>
        <v>1</v>
      </c>
      <c r="X10" s="67" t="b">
        <f t="shared" si="3"/>
        <v>1</v>
      </c>
      <c r="Y10" s="75" t="str">
        <f t="shared" si="4"/>
        <v>✅ PASS</v>
      </c>
    </row>
    <row r="11" spans="1:25" ht="15" customHeight="1" x14ac:dyDescent="0.25">
      <c r="A11" s="76"/>
      <c r="B11" s="37" t="s">
        <v>123</v>
      </c>
      <c r="C11" s="37" t="s">
        <v>61</v>
      </c>
      <c r="D11" s="37" t="s">
        <v>65</v>
      </c>
      <c r="E11" s="37" t="s">
        <v>78</v>
      </c>
      <c r="F11" s="37" t="s">
        <v>63</v>
      </c>
      <c r="G11" s="77">
        <v>202</v>
      </c>
      <c r="H11" s="78">
        <v>583.94000000000005</v>
      </c>
      <c r="I11" s="78">
        <v>117955.8</v>
      </c>
      <c r="J11" s="79">
        <v>3.3E-3</v>
      </c>
      <c r="K11" s="78">
        <v>117567.93</v>
      </c>
      <c r="L11" s="78">
        <v>3022.56</v>
      </c>
      <c r="M11" s="78">
        <v>120590.49</v>
      </c>
      <c r="N11" s="78">
        <v>1410815.21</v>
      </c>
      <c r="O11" s="78">
        <v>117567.93</v>
      </c>
      <c r="P11" s="37" t="s">
        <v>262</v>
      </c>
      <c r="Q11" s="80">
        <v>45323</v>
      </c>
      <c r="R11" s="37">
        <v>2024</v>
      </c>
      <c r="S11" s="37">
        <v>2</v>
      </c>
      <c r="T11" s="3"/>
      <c r="U11" s="68" t="b">
        <f t="shared" si="0"/>
        <v>1</v>
      </c>
      <c r="V11" s="68" t="b">
        <f t="shared" si="1"/>
        <v>1</v>
      </c>
      <c r="W11" s="68" t="b">
        <f t="shared" si="2"/>
        <v>1</v>
      </c>
      <c r="X11" s="68" t="b">
        <f t="shared" si="3"/>
        <v>1</v>
      </c>
      <c r="Y11" s="69" t="str">
        <f t="shared" si="4"/>
        <v>✅ PASS</v>
      </c>
    </row>
    <row r="12" spans="1:25" ht="15" customHeight="1" x14ac:dyDescent="0.25">
      <c r="A12" s="70"/>
      <c r="B12" s="33" t="s">
        <v>123</v>
      </c>
      <c r="C12" s="33" t="s">
        <v>61</v>
      </c>
      <c r="D12" s="33" t="s">
        <v>62</v>
      </c>
      <c r="E12" s="33" t="s">
        <v>78</v>
      </c>
      <c r="F12" s="33" t="s">
        <v>66</v>
      </c>
      <c r="G12" s="71">
        <v>111</v>
      </c>
      <c r="H12" s="72">
        <v>870.76</v>
      </c>
      <c r="I12" s="72">
        <v>96653.86</v>
      </c>
      <c r="J12" s="73">
        <v>8.4000000000000005E-2</v>
      </c>
      <c r="K12" s="72">
        <v>88532.45</v>
      </c>
      <c r="L12" s="72">
        <v>-564.47</v>
      </c>
      <c r="M12" s="72">
        <v>87967.98</v>
      </c>
      <c r="N12" s="72">
        <v>1062389.3899999999</v>
      </c>
      <c r="O12" s="72">
        <v>88532.45</v>
      </c>
      <c r="P12" s="33" t="s">
        <v>262</v>
      </c>
      <c r="Q12" s="74">
        <v>45323</v>
      </c>
      <c r="R12" s="33">
        <v>2024</v>
      </c>
      <c r="S12" s="33">
        <v>2</v>
      </c>
      <c r="T12" s="3"/>
      <c r="U12" s="67" t="b">
        <f t="shared" si="0"/>
        <v>1</v>
      </c>
      <c r="V12" s="67" t="b">
        <f t="shared" si="1"/>
        <v>1</v>
      </c>
      <c r="W12" s="67" t="b">
        <f t="shared" si="2"/>
        <v>1</v>
      </c>
      <c r="X12" s="67" t="b">
        <f t="shared" si="3"/>
        <v>1</v>
      </c>
      <c r="Y12" s="75" t="str">
        <f t="shared" si="4"/>
        <v>✅ PASS</v>
      </c>
    </row>
    <row r="13" spans="1:25" ht="15" customHeight="1" x14ac:dyDescent="0.25">
      <c r="A13" s="76"/>
      <c r="B13" s="37" t="s">
        <v>123</v>
      </c>
      <c r="C13" s="37" t="s">
        <v>61</v>
      </c>
      <c r="D13" s="37" t="s">
        <v>68</v>
      </c>
      <c r="E13" s="37" t="s">
        <v>78</v>
      </c>
      <c r="F13" s="37" t="s">
        <v>66</v>
      </c>
      <c r="G13" s="77">
        <v>144</v>
      </c>
      <c r="H13" s="78">
        <v>691.5</v>
      </c>
      <c r="I13" s="78">
        <v>99576.53</v>
      </c>
      <c r="J13" s="82">
        <v>0.1356</v>
      </c>
      <c r="K13" s="78">
        <v>86076.3</v>
      </c>
      <c r="L13" s="78">
        <v>-7274.36</v>
      </c>
      <c r="M13" s="78">
        <v>78801.95</v>
      </c>
      <c r="N13" s="78">
        <v>1032915.66</v>
      </c>
      <c r="O13" s="78">
        <v>86076.3</v>
      </c>
      <c r="P13" s="37" t="s">
        <v>262</v>
      </c>
      <c r="Q13" s="80">
        <v>45323</v>
      </c>
      <c r="R13" s="37">
        <v>2024</v>
      </c>
      <c r="S13" s="37">
        <v>2</v>
      </c>
      <c r="T13" s="3"/>
      <c r="U13" s="68" t="b">
        <f t="shared" si="0"/>
        <v>1</v>
      </c>
      <c r="V13" s="68" t="b">
        <f t="shared" si="1"/>
        <v>1</v>
      </c>
      <c r="W13" s="68" t="b">
        <f t="shared" si="2"/>
        <v>1</v>
      </c>
      <c r="X13" s="68" t="b">
        <f t="shared" si="3"/>
        <v>1</v>
      </c>
      <c r="Y13" s="69" t="str">
        <f t="shared" si="4"/>
        <v>✅ PASS</v>
      </c>
    </row>
    <row r="14" spans="1:25" ht="15" customHeight="1" x14ac:dyDescent="0.25">
      <c r="A14" s="70"/>
      <c r="B14" s="33" t="s">
        <v>123</v>
      </c>
      <c r="C14" s="33" t="s">
        <v>67</v>
      </c>
      <c r="D14" s="33" t="s">
        <v>65</v>
      </c>
      <c r="E14" s="33" t="s">
        <v>78</v>
      </c>
      <c r="F14" s="33" t="s">
        <v>69</v>
      </c>
      <c r="G14" s="71">
        <v>112</v>
      </c>
      <c r="H14" s="72">
        <v>508.35</v>
      </c>
      <c r="I14" s="72">
        <v>56935.69</v>
      </c>
      <c r="J14" s="73">
        <v>7.46E-2</v>
      </c>
      <c r="K14" s="72">
        <v>52686.75</v>
      </c>
      <c r="L14" s="72">
        <v>3815.15</v>
      </c>
      <c r="M14" s="72">
        <v>56501.9</v>
      </c>
      <c r="N14" s="72">
        <v>632241.05000000005</v>
      </c>
      <c r="O14" s="72">
        <v>52686.75</v>
      </c>
      <c r="P14" s="33" t="s">
        <v>262</v>
      </c>
      <c r="Q14" s="74">
        <v>45323</v>
      </c>
      <c r="R14" s="33">
        <v>2024</v>
      </c>
      <c r="S14" s="33">
        <v>2</v>
      </c>
      <c r="T14" s="3"/>
      <c r="U14" s="67" t="b">
        <f t="shared" si="0"/>
        <v>1</v>
      </c>
      <c r="V14" s="67" t="b">
        <f t="shared" si="1"/>
        <v>1</v>
      </c>
      <c r="W14" s="67" t="b">
        <f t="shared" si="2"/>
        <v>1</v>
      </c>
      <c r="X14" s="67" t="b">
        <f t="shared" si="3"/>
        <v>1</v>
      </c>
      <c r="Y14" s="75" t="str">
        <f t="shared" si="4"/>
        <v>✅ PASS</v>
      </c>
    </row>
    <row r="15" spans="1:25" ht="15" customHeight="1" x14ac:dyDescent="0.25">
      <c r="A15" s="76"/>
      <c r="B15" s="37" t="s">
        <v>123</v>
      </c>
      <c r="C15" s="37" t="s">
        <v>67</v>
      </c>
      <c r="D15" s="37" t="s">
        <v>62</v>
      </c>
      <c r="E15" s="37" t="s">
        <v>78</v>
      </c>
      <c r="F15" s="37" t="s">
        <v>66</v>
      </c>
      <c r="G15" s="77">
        <v>80</v>
      </c>
      <c r="H15" s="78">
        <v>777.45</v>
      </c>
      <c r="I15" s="78">
        <v>62195.66</v>
      </c>
      <c r="J15" s="82">
        <v>0.12280000000000001</v>
      </c>
      <c r="K15" s="78">
        <v>54559.42</v>
      </c>
      <c r="L15" s="78">
        <v>1548.61</v>
      </c>
      <c r="M15" s="78">
        <v>56108.02</v>
      </c>
      <c r="N15" s="78">
        <v>654712.98</v>
      </c>
      <c r="O15" s="78">
        <v>54559.42</v>
      </c>
      <c r="P15" s="37" t="s">
        <v>262</v>
      </c>
      <c r="Q15" s="80">
        <v>45323</v>
      </c>
      <c r="R15" s="37">
        <v>2024</v>
      </c>
      <c r="S15" s="37">
        <v>2</v>
      </c>
      <c r="T15" s="3"/>
      <c r="U15" s="68" t="b">
        <f t="shared" si="0"/>
        <v>1</v>
      </c>
      <c r="V15" s="68" t="b">
        <f t="shared" si="1"/>
        <v>1</v>
      </c>
      <c r="W15" s="68" t="b">
        <f t="shared" si="2"/>
        <v>1</v>
      </c>
      <c r="X15" s="68" t="b">
        <f t="shared" si="3"/>
        <v>1</v>
      </c>
      <c r="Y15" s="69" t="str">
        <f t="shared" si="4"/>
        <v>✅ PASS</v>
      </c>
    </row>
    <row r="16" spans="1:25" ht="15" customHeight="1" x14ac:dyDescent="0.25">
      <c r="A16" s="70"/>
      <c r="B16" s="33" t="s">
        <v>123</v>
      </c>
      <c r="C16" s="33" t="s">
        <v>67</v>
      </c>
      <c r="D16" s="33" t="s">
        <v>68</v>
      </c>
      <c r="E16" s="33" t="s">
        <v>78</v>
      </c>
      <c r="F16" s="33" t="s">
        <v>66</v>
      </c>
      <c r="G16" s="71">
        <v>69</v>
      </c>
      <c r="H16" s="72">
        <v>366.29</v>
      </c>
      <c r="I16" s="72">
        <v>25273.86</v>
      </c>
      <c r="J16" s="73">
        <v>1.32E-2</v>
      </c>
      <c r="K16" s="72">
        <v>24940.21</v>
      </c>
      <c r="L16" s="72">
        <v>831.79</v>
      </c>
      <c r="M16" s="72">
        <v>25772.01</v>
      </c>
      <c r="N16" s="72">
        <v>299282.56</v>
      </c>
      <c r="O16" s="72">
        <v>24940.21</v>
      </c>
      <c r="P16" s="33" t="s">
        <v>262</v>
      </c>
      <c r="Q16" s="74">
        <v>45323</v>
      </c>
      <c r="R16" s="33">
        <v>2024</v>
      </c>
      <c r="S16" s="33">
        <v>2</v>
      </c>
      <c r="T16" s="3"/>
      <c r="U16" s="67" t="b">
        <f t="shared" si="0"/>
        <v>1</v>
      </c>
      <c r="V16" s="67" t="b">
        <f t="shared" si="1"/>
        <v>1</v>
      </c>
      <c r="W16" s="67" t="b">
        <f t="shared" si="2"/>
        <v>1</v>
      </c>
      <c r="X16" s="67" t="b">
        <f t="shared" si="3"/>
        <v>1</v>
      </c>
      <c r="Y16" s="75" t="str">
        <f t="shared" si="4"/>
        <v>✅ PASS</v>
      </c>
    </row>
    <row r="17" spans="1:25" ht="15" customHeight="1" x14ac:dyDescent="0.25">
      <c r="A17" s="76"/>
      <c r="B17" s="37" t="s">
        <v>123</v>
      </c>
      <c r="C17" s="37" t="s">
        <v>64</v>
      </c>
      <c r="D17" s="37" t="s">
        <v>65</v>
      </c>
      <c r="E17" s="37" t="s">
        <v>75</v>
      </c>
      <c r="F17" s="37" t="s">
        <v>63</v>
      </c>
      <c r="G17" s="77">
        <v>115</v>
      </c>
      <c r="H17" s="78">
        <v>381.04</v>
      </c>
      <c r="I17" s="78">
        <v>43819.72</v>
      </c>
      <c r="J17" s="82">
        <v>0.2487</v>
      </c>
      <c r="K17" s="78">
        <v>32922.36</v>
      </c>
      <c r="L17" s="78">
        <v>4530.83</v>
      </c>
      <c r="M17" s="78">
        <v>37453.19</v>
      </c>
      <c r="N17" s="78">
        <v>395068.32</v>
      </c>
      <c r="O17" s="78">
        <v>32922.36</v>
      </c>
      <c r="P17" s="37" t="s">
        <v>262</v>
      </c>
      <c r="Q17" s="80">
        <v>45323</v>
      </c>
      <c r="R17" s="37">
        <v>2024</v>
      </c>
      <c r="S17" s="37">
        <v>2</v>
      </c>
      <c r="T17" s="3"/>
      <c r="U17" s="68" t="b">
        <f t="shared" si="0"/>
        <v>1</v>
      </c>
      <c r="V17" s="68" t="b">
        <f t="shared" si="1"/>
        <v>1</v>
      </c>
      <c r="W17" s="68" t="b">
        <f t="shared" si="2"/>
        <v>1</v>
      </c>
      <c r="X17" s="68" t="b">
        <f t="shared" si="3"/>
        <v>1</v>
      </c>
      <c r="Y17" s="69" t="str">
        <f t="shared" si="4"/>
        <v>✅ PASS</v>
      </c>
    </row>
    <row r="18" spans="1:25" ht="15" customHeight="1" x14ac:dyDescent="0.25">
      <c r="A18" s="70"/>
      <c r="B18" s="33" t="s">
        <v>123</v>
      </c>
      <c r="C18" s="33" t="s">
        <v>64</v>
      </c>
      <c r="D18" s="33" t="s">
        <v>62</v>
      </c>
      <c r="E18" s="33" t="s">
        <v>78</v>
      </c>
      <c r="F18" s="33" t="s">
        <v>63</v>
      </c>
      <c r="G18" s="71">
        <v>157</v>
      </c>
      <c r="H18" s="72">
        <v>453.46</v>
      </c>
      <c r="I18" s="72">
        <v>71193.73</v>
      </c>
      <c r="J18" s="81">
        <v>0.1497</v>
      </c>
      <c r="K18" s="72">
        <v>60532.639999999999</v>
      </c>
      <c r="L18" s="72">
        <v>-5209</v>
      </c>
      <c r="M18" s="72">
        <v>55323.63</v>
      </c>
      <c r="N18" s="72">
        <v>726391.65</v>
      </c>
      <c r="O18" s="72">
        <v>60532.639999999999</v>
      </c>
      <c r="P18" s="33" t="s">
        <v>262</v>
      </c>
      <c r="Q18" s="74">
        <v>45323</v>
      </c>
      <c r="R18" s="33">
        <v>2024</v>
      </c>
      <c r="S18" s="33">
        <v>2</v>
      </c>
      <c r="T18" s="3"/>
      <c r="U18" s="67" t="b">
        <f t="shared" si="0"/>
        <v>1</v>
      </c>
      <c r="V18" s="67" t="b">
        <f t="shared" si="1"/>
        <v>1</v>
      </c>
      <c r="W18" s="67" t="b">
        <f t="shared" si="2"/>
        <v>1</v>
      </c>
      <c r="X18" s="67" t="b">
        <f t="shared" si="3"/>
        <v>1</v>
      </c>
      <c r="Y18" s="75" t="str">
        <f t="shared" si="4"/>
        <v>✅ PASS</v>
      </c>
    </row>
    <row r="19" spans="1:25" ht="15" customHeight="1" x14ac:dyDescent="0.25">
      <c r="A19" s="76"/>
      <c r="B19" s="37" t="s">
        <v>123</v>
      </c>
      <c r="C19" s="37" t="s">
        <v>64</v>
      </c>
      <c r="D19" s="37" t="s">
        <v>68</v>
      </c>
      <c r="E19" s="37" t="s">
        <v>75</v>
      </c>
      <c r="F19" s="37" t="s">
        <v>66</v>
      </c>
      <c r="G19" s="77">
        <v>135</v>
      </c>
      <c r="H19" s="78">
        <v>506.56</v>
      </c>
      <c r="I19" s="78">
        <v>68386.179999999993</v>
      </c>
      <c r="J19" s="79">
        <v>4.4299999999999999E-2</v>
      </c>
      <c r="K19" s="78">
        <v>65359.54</v>
      </c>
      <c r="L19" s="78">
        <v>1985.35</v>
      </c>
      <c r="M19" s="78">
        <v>67344.88</v>
      </c>
      <c r="N19" s="78">
        <v>784314.43</v>
      </c>
      <c r="O19" s="78">
        <v>65359.54</v>
      </c>
      <c r="P19" s="37" t="s">
        <v>262</v>
      </c>
      <c r="Q19" s="80">
        <v>45323</v>
      </c>
      <c r="R19" s="37">
        <v>2024</v>
      </c>
      <c r="S19" s="37">
        <v>2</v>
      </c>
      <c r="T19" s="3"/>
      <c r="U19" s="68" t="b">
        <f t="shared" si="0"/>
        <v>1</v>
      </c>
      <c r="V19" s="68" t="b">
        <f t="shared" si="1"/>
        <v>1</v>
      </c>
      <c r="W19" s="68" t="b">
        <f t="shared" si="2"/>
        <v>1</v>
      </c>
      <c r="X19" s="68" t="b">
        <f t="shared" si="3"/>
        <v>1</v>
      </c>
      <c r="Y19" s="69" t="str">
        <f t="shared" si="4"/>
        <v>✅ PASS</v>
      </c>
    </row>
    <row r="20" spans="1:25" ht="15" customHeight="1" x14ac:dyDescent="0.25">
      <c r="A20" s="70"/>
      <c r="B20" s="33" t="s">
        <v>124</v>
      </c>
      <c r="C20" s="33" t="s">
        <v>61</v>
      </c>
      <c r="D20" s="33" t="s">
        <v>65</v>
      </c>
      <c r="E20" s="33" t="s">
        <v>75</v>
      </c>
      <c r="F20" s="33" t="s">
        <v>66</v>
      </c>
      <c r="G20" s="71">
        <v>218</v>
      </c>
      <c r="H20" s="72">
        <v>928.5</v>
      </c>
      <c r="I20" s="72">
        <v>202412.56</v>
      </c>
      <c r="J20" s="73">
        <v>6.3700000000000007E-2</v>
      </c>
      <c r="K20" s="72">
        <v>189510.76</v>
      </c>
      <c r="L20" s="72">
        <v>-10080.540000000001</v>
      </c>
      <c r="M20" s="72">
        <v>179430.22</v>
      </c>
      <c r="N20" s="72">
        <v>2274129.12</v>
      </c>
      <c r="O20" s="72">
        <v>189510.76</v>
      </c>
      <c r="P20" s="33" t="s">
        <v>262</v>
      </c>
      <c r="Q20" s="74">
        <v>45352</v>
      </c>
      <c r="R20" s="33">
        <v>2024</v>
      </c>
      <c r="S20" s="33">
        <v>3</v>
      </c>
      <c r="T20" s="3"/>
      <c r="U20" s="67" t="b">
        <f t="shared" si="0"/>
        <v>1</v>
      </c>
      <c r="V20" s="67" t="b">
        <f t="shared" si="1"/>
        <v>1</v>
      </c>
      <c r="W20" s="67" t="b">
        <f t="shared" si="2"/>
        <v>1</v>
      </c>
      <c r="X20" s="67" t="b">
        <f t="shared" si="3"/>
        <v>1</v>
      </c>
      <c r="Y20" s="75" t="str">
        <f t="shared" si="4"/>
        <v>✅ PASS</v>
      </c>
    </row>
    <row r="21" spans="1:25" ht="15" customHeight="1" x14ac:dyDescent="0.25">
      <c r="A21" s="76"/>
      <c r="B21" s="37" t="s">
        <v>124</v>
      </c>
      <c r="C21" s="37" t="s">
        <v>61</v>
      </c>
      <c r="D21" s="37" t="s">
        <v>62</v>
      </c>
      <c r="E21" s="37" t="s">
        <v>81</v>
      </c>
      <c r="F21" s="37" t="s">
        <v>63</v>
      </c>
      <c r="G21" s="77">
        <v>141</v>
      </c>
      <c r="H21" s="78">
        <v>1016.41</v>
      </c>
      <c r="I21" s="78">
        <v>143314.18</v>
      </c>
      <c r="J21" s="82">
        <v>0.1991</v>
      </c>
      <c r="K21" s="78">
        <v>114778.81</v>
      </c>
      <c r="L21" s="78">
        <v>15715.48</v>
      </c>
      <c r="M21" s="78">
        <v>130494.29</v>
      </c>
      <c r="N21" s="78">
        <v>1377345.74</v>
      </c>
      <c r="O21" s="78">
        <v>114778.81</v>
      </c>
      <c r="P21" s="37" t="s">
        <v>262</v>
      </c>
      <c r="Q21" s="80">
        <v>45352</v>
      </c>
      <c r="R21" s="37">
        <v>2024</v>
      </c>
      <c r="S21" s="37">
        <v>3</v>
      </c>
      <c r="T21" s="3"/>
      <c r="U21" s="68" t="b">
        <f t="shared" si="0"/>
        <v>1</v>
      </c>
      <c r="V21" s="68" t="b">
        <f t="shared" si="1"/>
        <v>1</v>
      </c>
      <c r="W21" s="68" t="b">
        <f t="shared" si="2"/>
        <v>1</v>
      </c>
      <c r="X21" s="68" t="b">
        <f t="shared" si="3"/>
        <v>1</v>
      </c>
      <c r="Y21" s="69" t="str">
        <f t="shared" si="4"/>
        <v>✅ PASS</v>
      </c>
    </row>
    <row r="22" spans="1:25" ht="15" customHeight="1" x14ac:dyDescent="0.25">
      <c r="A22" s="70"/>
      <c r="B22" s="33" t="s">
        <v>124</v>
      </c>
      <c r="C22" s="33" t="s">
        <v>61</v>
      </c>
      <c r="D22" s="33" t="s">
        <v>68</v>
      </c>
      <c r="E22" s="33" t="s">
        <v>75</v>
      </c>
      <c r="F22" s="33" t="s">
        <v>66</v>
      </c>
      <c r="G22" s="71">
        <v>104</v>
      </c>
      <c r="H22" s="72">
        <v>442.96</v>
      </c>
      <c r="I22" s="72">
        <v>46068.3</v>
      </c>
      <c r="J22" s="73">
        <v>8.1500000000000003E-2</v>
      </c>
      <c r="K22" s="72">
        <v>42315.39</v>
      </c>
      <c r="L22" s="72">
        <v>-2147.61</v>
      </c>
      <c r="M22" s="72">
        <v>40167.78</v>
      </c>
      <c r="N22" s="72">
        <v>507784.69</v>
      </c>
      <c r="O22" s="72">
        <v>42315.39</v>
      </c>
      <c r="P22" s="33" t="s">
        <v>262</v>
      </c>
      <c r="Q22" s="74">
        <v>45352</v>
      </c>
      <c r="R22" s="33">
        <v>2024</v>
      </c>
      <c r="S22" s="33">
        <v>3</v>
      </c>
      <c r="T22" s="3"/>
      <c r="U22" s="67" t="b">
        <f t="shared" si="0"/>
        <v>1</v>
      </c>
      <c r="V22" s="67" t="b">
        <f t="shared" si="1"/>
        <v>1</v>
      </c>
      <c r="W22" s="67" t="b">
        <f t="shared" si="2"/>
        <v>1</v>
      </c>
      <c r="X22" s="67" t="b">
        <f t="shared" si="3"/>
        <v>1</v>
      </c>
      <c r="Y22" s="75" t="str">
        <f t="shared" si="4"/>
        <v>✅ PASS</v>
      </c>
    </row>
    <row r="23" spans="1:25" ht="15" customHeight="1" x14ac:dyDescent="0.25">
      <c r="A23" s="76"/>
      <c r="B23" s="37" t="s">
        <v>124</v>
      </c>
      <c r="C23" s="37" t="s">
        <v>67</v>
      </c>
      <c r="D23" s="37" t="s">
        <v>65</v>
      </c>
      <c r="E23" s="37" t="s">
        <v>78</v>
      </c>
      <c r="F23" s="37" t="s">
        <v>69</v>
      </c>
      <c r="G23" s="77">
        <v>130</v>
      </c>
      <c r="H23" s="78">
        <v>748.97</v>
      </c>
      <c r="I23" s="78">
        <v>97366.51</v>
      </c>
      <c r="J23" s="82">
        <v>0.17710000000000001</v>
      </c>
      <c r="K23" s="78">
        <v>80122.42</v>
      </c>
      <c r="L23" s="78">
        <v>8044.93</v>
      </c>
      <c r="M23" s="78">
        <v>88167.35</v>
      </c>
      <c r="N23" s="78">
        <v>961469.01</v>
      </c>
      <c r="O23" s="78">
        <v>80122.42</v>
      </c>
      <c r="P23" s="37" t="s">
        <v>262</v>
      </c>
      <c r="Q23" s="80">
        <v>45352</v>
      </c>
      <c r="R23" s="37">
        <v>2024</v>
      </c>
      <c r="S23" s="37">
        <v>3</v>
      </c>
      <c r="T23" s="3"/>
      <c r="U23" s="68" t="b">
        <f t="shared" si="0"/>
        <v>1</v>
      </c>
      <c r="V23" s="68" t="b">
        <f t="shared" si="1"/>
        <v>1</v>
      </c>
      <c r="W23" s="68" t="b">
        <f t="shared" si="2"/>
        <v>1</v>
      </c>
      <c r="X23" s="68" t="b">
        <f t="shared" si="3"/>
        <v>1</v>
      </c>
      <c r="Y23" s="69" t="str">
        <f t="shared" si="4"/>
        <v>✅ PASS</v>
      </c>
    </row>
    <row r="24" spans="1:25" ht="15" customHeight="1" x14ac:dyDescent="0.25">
      <c r="A24" s="70"/>
      <c r="B24" s="33" t="s">
        <v>124</v>
      </c>
      <c r="C24" s="33" t="s">
        <v>67</v>
      </c>
      <c r="D24" s="33" t="s">
        <v>62</v>
      </c>
      <c r="E24" s="33" t="s">
        <v>81</v>
      </c>
      <c r="F24" s="33" t="s">
        <v>66</v>
      </c>
      <c r="G24" s="71">
        <v>191</v>
      </c>
      <c r="H24" s="72">
        <v>1030.7</v>
      </c>
      <c r="I24" s="72">
        <v>196863.15</v>
      </c>
      <c r="J24" s="73">
        <v>8.0000000000000002E-3</v>
      </c>
      <c r="K24" s="72">
        <v>195283.36</v>
      </c>
      <c r="L24" s="72">
        <v>-2758.3</v>
      </c>
      <c r="M24" s="72">
        <v>192525.05</v>
      </c>
      <c r="N24" s="72">
        <v>2343400.2999999998</v>
      </c>
      <c r="O24" s="72">
        <v>195283.36</v>
      </c>
      <c r="P24" s="33" t="s">
        <v>262</v>
      </c>
      <c r="Q24" s="74">
        <v>45352</v>
      </c>
      <c r="R24" s="33">
        <v>2024</v>
      </c>
      <c r="S24" s="33">
        <v>3</v>
      </c>
      <c r="T24" s="3"/>
      <c r="U24" s="67" t="b">
        <f t="shared" si="0"/>
        <v>1</v>
      </c>
      <c r="V24" s="67" t="b">
        <f t="shared" si="1"/>
        <v>1</v>
      </c>
      <c r="W24" s="67" t="b">
        <f t="shared" si="2"/>
        <v>1</v>
      </c>
      <c r="X24" s="67" t="b">
        <f t="shared" si="3"/>
        <v>1</v>
      </c>
      <c r="Y24" s="75" t="str">
        <f t="shared" si="4"/>
        <v>✅ PASS</v>
      </c>
    </row>
    <row r="25" spans="1:25" ht="15" customHeight="1" x14ac:dyDescent="0.25">
      <c r="A25" s="76"/>
      <c r="B25" s="37" t="s">
        <v>124</v>
      </c>
      <c r="C25" s="37" t="s">
        <v>67</v>
      </c>
      <c r="D25" s="37" t="s">
        <v>68</v>
      </c>
      <c r="E25" s="37" t="s">
        <v>75</v>
      </c>
      <c r="F25" s="37" t="s">
        <v>66</v>
      </c>
      <c r="G25" s="77">
        <v>156</v>
      </c>
      <c r="H25" s="78">
        <v>1062.8499999999999</v>
      </c>
      <c r="I25" s="78">
        <v>165804.04999999999</v>
      </c>
      <c r="J25" s="79">
        <v>8.48E-2</v>
      </c>
      <c r="K25" s="78">
        <v>151749.07</v>
      </c>
      <c r="L25" s="78">
        <v>9623.8799999999992</v>
      </c>
      <c r="M25" s="78">
        <v>161372.95000000001</v>
      </c>
      <c r="N25" s="78">
        <v>1820988.8</v>
      </c>
      <c r="O25" s="78">
        <v>151749.07</v>
      </c>
      <c r="P25" s="37" t="s">
        <v>262</v>
      </c>
      <c r="Q25" s="80">
        <v>45352</v>
      </c>
      <c r="R25" s="37">
        <v>2024</v>
      </c>
      <c r="S25" s="37">
        <v>3</v>
      </c>
      <c r="T25" s="3"/>
      <c r="U25" s="68" t="b">
        <f t="shared" si="0"/>
        <v>1</v>
      </c>
      <c r="V25" s="68" t="b">
        <f t="shared" si="1"/>
        <v>1</v>
      </c>
      <c r="W25" s="68" t="b">
        <f t="shared" si="2"/>
        <v>1</v>
      </c>
      <c r="X25" s="68" t="b">
        <f t="shared" si="3"/>
        <v>1</v>
      </c>
      <c r="Y25" s="69" t="str">
        <f t="shared" si="4"/>
        <v>✅ PASS</v>
      </c>
    </row>
    <row r="26" spans="1:25" ht="15" customHeight="1" x14ac:dyDescent="0.25">
      <c r="A26" s="70"/>
      <c r="B26" s="33" t="s">
        <v>124</v>
      </c>
      <c r="C26" s="33" t="s">
        <v>64</v>
      </c>
      <c r="D26" s="33" t="s">
        <v>65</v>
      </c>
      <c r="E26" s="33" t="s">
        <v>78</v>
      </c>
      <c r="F26" s="33" t="s">
        <v>63</v>
      </c>
      <c r="G26" s="71">
        <v>141</v>
      </c>
      <c r="H26" s="72">
        <v>978.33</v>
      </c>
      <c r="I26" s="72">
        <v>137944.6</v>
      </c>
      <c r="J26" s="73">
        <v>2.2100000000000002E-2</v>
      </c>
      <c r="K26" s="72">
        <v>134898.07</v>
      </c>
      <c r="L26" s="72">
        <v>16852.849999999999</v>
      </c>
      <c r="M26" s="72">
        <v>151750.92000000001</v>
      </c>
      <c r="N26" s="72">
        <v>1618776.83</v>
      </c>
      <c r="O26" s="72">
        <v>134898.07</v>
      </c>
      <c r="P26" s="33" t="s">
        <v>262</v>
      </c>
      <c r="Q26" s="74">
        <v>45352</v>
      </c>
      <c r="R26" s="33">
        <v>2024</v>
      </c>
      <c r="S26" s="33">
        <v>3</v>
      </c>
      <c r="T26" s="3"/>
      <c r="U26" s="67" t="b">
        <f t="shared" si="0"/>
        <v>1</v>
      </c>
      <c r="V26" s="67" t="b">
        <f t="shared" si="1"/>
        <v>1</v>
      </c>
      <c r="W26" s="67" t="b">
        <f t="shared" si="2"/>
        <v>1</v>
      </c>
      <c r="X26" s="67" t="b">
        <f t="shared" si="3"/>
        <v>1</v>
      </c>
      <c r="Y26" s="75" t="str">
        <f t="shared" si="4"/>
        <v>✅ PASS</v>
      </c>
    </row>
    <row r="27" spans="1:25" ht="15" customHeight="1" x14ac:dyDescent="0.25">
      <c r="A27" s="76"/>
      <c r="B27" s="37" t="s">
        <v>124</v>
      </c>
      <c r="C27" s="37" t="s">
        <v>64</v>
      </c>
      <c r="D27" s="37" t="s">
        <v>62</v>
      </c>
      <c r="E27" s="37" t="s">
        <v>75</v>
      </c>
      <c r="F27" s="37" t="s">
        <v>69</v>
      </c>
      <c r="G27" s="77">
        <v>178</v>
      </c>
      <c r="H27" s="78">
        <v>513.45000000000005</v>
      </c>
      <c r="I27" s="78">
        <v>91393.55</v>
      </c>
      <c r="J27" s="79">
        <v>4.5400000000000003E-2</v>
      </c>
      <c r="K27" s="78">
        <v>87247.05</v>
      </c>
      <c r="L27" s="78">
        <v>2758.13</v>
      </c>
      <c r="M27" s="78">
        <v>90005.18</v>
      </c>
      <c r="N27" s="78">
        <v>1046964.54</v>
      </c>
      <c r="O27" s="78">
        <v>87247.05</v>
      </c>
      <c r="P27" s="37" t="s">
        <v>262</v>
      </c>
      <c r="Q27" s="80">
        <v>45352</v>
      </c>
      <c r="R27" s="37">
        <v>2024</v>
      </c>
      <c r="S27" s="37">
        <v>3</v>
      </c>
      <c r="T27" s="3"/>
      <c r="U27" s="68" t="b">
        <f t="shared" si="0"/>
        <v>1</v>
      </c>
      <c r="V27" s="68" t="b">
        <f t="shared" si="1"/>
        <v>1</v>
      </c>
      <c r="W27" s="68" t="b">
        <f t="shared" si="2"/>
        <v>1</v>
      </c>
      <c r="X27" s="68" t="b">
        <f t="shared" si="3"/>
        <v>1</v>
      </c>
      <c r="Y27" s="69" t="str">
        <f t="shared" si="4"/>
        <v>✅ PASS</v>
      </c>
    </row>
    <row r="28" spans="1:25" ht="15" customHeight="1" x14ac:dyDescent="0.25">
      <c r="A28" s="70"/>
      <c r="B28" s="33" t="s">
        <v>124</v>
      </c>
      <c r="C28" s="33" t="s">
        <v>64</v>
      </c>
      <c r="D28" s="33" t="s">
        <v>68</v>
      </c>
      <c r="E28" s="33" t="s">
        <v>81</v>
      </c>
      <c r="F28" s="33" t="s">
        <v>66</v>
      </c>
      <c r="G28" s="71">
        <v>172</v>
      </c>
      <c r="H28" s="72">
        <v>409.97</v>
      </c>
      <c r="I28" s="72">
        <v>70515.210000000006</v>
      </c>
      <c r="J28" s="73">
        <v>9.3799999999999994E-2</v>
      </c>
      <c r="K28" s="72">
        <v>63903.040000000001</v>
      </c>
      <c r="L28" s="72">
        <v>3825.12</v>
      </c>
      <c r="M28" s="72">
        <v>67728.160000000003</v>
      </c>
      <c r="N28" s="72">
        <v>766836.52</v>
      </c>
      <c r="O28" s="72">
        <v>63903.040000000001</v>
      </c>
      <c r="P28" s="33" t="s">
        <v>262</v>
      </c>
      <c r="Q28" s="74">
        <v>45352</v>
      </c>
      <c r="R28" s="33">
        <v>2024</v>
      </c>
      <c r="S28" s="33">
        <v>3</v>
      </c>
      <c r="T28" s="3"/>
      <c r="U28" s="67" t="b">
        <f t="shared" si="0"/>
        <v>1</v>
      </c>
      <c r="V28" s="67" t="b">
        <f t="shared" si="1"/>
        <v>1</v>
      </c>
      <c r="W28" s="67" t="b">
        <f t="shared" si="2"/>
        <v>1</v>
      </c>
      <c r="X28" s="67" t="b">
        <f t="shared" si="3"/>
        <v>1</v>
      </c>
      <c r="Y28" s="75" t="str">
        <f t="shared" si="4"/>
        <v>✅ PASS</v>
      </c>
    </row>
    <row r="29" spans="1:25" ht="15" customHeight="1" x14ac:dyDescent="0.25">
      <c r="A29" s="76"/>
      <c r="B29" s="37" t="s">
        <v>125</v>
      </c>
      <c r="C29" s="37" t="s">
        <v>61</v>
      </c>
      <c r="D29" s="37" t="s">
        <v>65</v>
      </c>
      <c r="E29" s="37" t="s">
        <v>78</v>
      </c>
      <c r="F29" s="37" t="s">
        <v>63</v>
      </c>
      <c r="G29" s="77">
        <v>125</v>
      </c>
      <c r="H29" s="78">
        <v>662.66</v>
      </c>
      <c r="I29" s="78">
        <v>82833.100000000006</v>
      </c>
      <c r="J29" s="82">
        <v>0.2392</v>
      </c>
      <c r="K29" s="78">
        <v>63020.44</v>
      </c>
      <c r="L29" s="78">
        <v>-5786.36</v>
      </c>
      <c r="M29" s="78">
        <v>57234.07</v>
      </c>
      <c r="N29" s="78">
        <v>756245.27</v>
      </c>
      <c r="O29" s="78">
        <v>63020.44</v>
      </c>
      <c r="P29" s="37" t="s">
        <v>262</v>
      </c>
      <c r="Q29" s="80">
        <v>45383</v>
      </c>
      <c r="R29" s="37">
        <v>2024</v>
      </c>
      <c r="S29" s="37">
        <v>4</v>
      </c>
      <c r="T29" s="3"/>
      <c r="U29" s="68" t="b">
        <f t="shared" si="0"/>
        <v>1</v>
      </c>
      <c r="V29" s="68" t="b">
        <f t="shared" si="1"/>
        <v>1</v>
      </c>
      <c r="W29" s="68" t="b">
        <f t="shared" si="2"/>
        <v>1</v>
      </c>
      <c r="X29" s="68" t="b">
        <f t="shared" si="3"/>
        <v>1</v>
      </c>
      <c r="Y29" s="69" t="str">
        <f t="shared" si="4"/>
        <v>✅ PASS</v>
      </c>
    </row>
    <row r="30" spans="1:25" ht="15" customHeight="1" x14ac:dyDescent="0.25">
      <c r="A30" s="70"/>
      <c r="B30" s="33" t="s">
        <v>125</v>
      </c>
      <c r="C30" s="33" t="s">
        <v>61</v>
      </c>
      <c r="D30" s="33" t="s">
        <v>62</v>
      </c>
      <c r="E30" s="33" t="s">
        <v>75</v>
      </c>
      <c r="F30" s="33" t="s">
        <v>66</v>
      </c>
      <c r="G30" s="71">
        <v>61</v>
      </c>
      <c r="H30" s="72">
        <v>417.08</v>
      </c>
      <c r="I30" s="72">
        <v>25441.72</v>
      </c>
      <c r="J30" s="73">
        <v>3.7000000000000002E-3</v>
      </c>
      <c r="K30" s="72">
        <v>25347.61</v>
      </c>
      <c r="L30" s="72">
        <v>-2511.2399999999998</v>
      </c>
      <c r="M30" s="72">
        <v>22836.37</v>
      </c>
      <c r="N30" s="72">
        <v>304171.36</v>
      </c>
      <c r="O30" s="72">
        <v>25347.61</v>
      </c>
      <c r="P30" s="33" t="s">
        <v>262</v>
      </c>
      <c r="Q30" s="74">
        <v>45383</v>
      </c>
      <c r="R30" s="33">
        <v>2024</v>
      </c>
      <c r="S30" s="33">
        <v>4</v>
      </c>
      <c r="T30" s="3"/>
      <c r="U30" s="67" t="b">
        <f t="shared" si="0"/>
        <v>1</v>
      </c>
      <c r="V30" s="67" t="b">
        <f t="shared" si="1"/>
        <v>1</v>
      </c>
      <c r="W30" s="67" t="b">
        <f t="shared" si="2"/>
        <v>1</v>
      </c>
      <c r="X30" s="67" t="b">
        <f t="shared" si="3"/>
        <v>1</v>
      </c>
      <c r="Y30" s="75" t="str">
        <f t="shared" si="4"/>
        <v>✅ PASS</v>
      </c>
    </row>
    <row r="31" spans="1:25" ht="15" customHeight="1" x14ac:dyDescent="0.25">
      <c r="A31" s="76"/>
      <c r="B31" s="37" t="s">
        <v>125</v>
      </c>
      <c r="C31" s="37" t="s">
        <v>61</v>
      </c>
      <c r="D31" s="37" t="s">
        <v>68</v>
      </c>
      <c r="E31" s="37" t="s">
        <v>81</v>
      </c>
      <c r="F31" s="37" t="s">
        <v>63</v>
      </c>
      <c r="G31" s="77">
        <v>106</v>
      </c>
      <c r="H31" s="78">
        <v>964.99</v>
      </c>
      <c r="I31" s="78">
        <v>102288.59</v>
      </c>
      <c r="J31" s="82">
        <v>0.20150000000000001</v>
      </c>
      <c r="K31" s="78">
        <v>81673.570000000007</v>
      </c>
      <c r="L31" s="78">
        <v>1978.74</v>
      </c>
      <c r="M31" s="78">
        <v>83652.31</v>
      </c>
      <c r="N31" s="78">
        <v>980082.83</v>
      </c>
      <c r="O31" s="78">
        <v>81673.570000000007</v>
      </c>
      <c r="P31" s="37" t="s">
        <v>262</v>
      </c>
      <c r="Q31" s="80">
        <v>45383</v>
      </c>
      <c r="R31" s="37">
        <v>2024</v>
      </c>
      <c r="S31" s="37">
        <v>4</v>
      </c>
      <c r="T31" s="3"/>
      <c r="U31" s="68" t="b">
        <f t="shared" si="0"/>
        <v>1</v>
      </c>
      <c r="V31" s="68" t="b">
        <f t="shared" si="1"/>
        <v>1</v>
      </c>
      <c r="W31" s="68" t="b">
        <f t="shared" si="2"/>
        <v>1</v>
      </c>
      <c r="X31" s="68" t="b">
        <f t="shared" si="3"/>
        <v>1</v>
      </c>
      <c r="Y31" s="69" t="str">
        <f t="shared" si="4"/>
        <v>✅ PASS</v>
      </c>
    </row>
    <row r="32" spans="1:25" ht="15" customHeight="1" x14ac:dyDescent="0.25">
      <c r="A32" s="70"/>
      <c r="B32" s="33" t="s">
        <v>125</v>
      </c>
      <c r="C32" s="33" t="s">
        <v>67</v>
      </c>
      <c r="D32" s="33" t="s">
        <v>65</v>
      </c>
      <c r="E32" s="33" t="s">
        <v>75</v>
      </c>
      <c r="F32" s="33" t="s">
        <v>63</v>
      </c>
      <c r="G32" s="71">
        <v>120</v>
      </c>
      <c r="H32" s="72">
        <v>591</v>
      </c>
      <c r="I32" s="72">
        <v>70919.649999999994</v>
      </c>
      <c r="J32" s="81">
        <v>0.1636</v>
      </c>
      <c r="K32" s="72">
        <v>59316.01</v>
      </c>
      <c r="L32" s="72">
        <v>5431.63</v>
      </c>
      <c r="M32" s="72">
        <v>64747.65</v>
      </c>
      <c r="N32" s="72">
        <v>711792.17</v>
      </c>
      <c r="O32" s="72">
        <v>59316.01</v>
      </c>
      <c r="P32" s="33" t="s">
        <v>262</v>
      </c>
      <c r="Q32" s="74">
        <v>45383</v>
      </c>
      <c r="R32" s="33">
        <v>2024</v>
      </c>
      <c r="S32" s="33">
        <v>4</v>
      </c>
      <c r="T32" s="3"/>
      <c r="U32" s="67" t="b">
        <f t="shared" si="0"/>
        <v>1</v>
      </c>
      <c r="V32" s="67" t="b">
        <f t="shared" si="1"/>
        <v>1</v>
      </c>
      <c r="W32" s="67" t="b">
        <f t="shared" si="2"/>
        <v>1</v>
      </c>
      <c r="X32" s="67" t="b">
        <f t="shared" si="3"/>
        <v>1</v>
      </c>
      <c r="Y32" s="75" t="str">
        <f t="shared" si="4"/>
        <v>✅ PASS</v>
      </c>
    </row>
    <row r="33" spans="1:25" ht="15" customHeight="1" x14ac:dyDescent="0.25">
      <c r="A33" s="76"/>
      <c r="B33" s="37" t="s">
        <v>125</v>
      </c>
      <c r="C33" s="37" t="s">
        <v>67</v>
      </c>
      <c r="D33" s="37" t="s">
        <v>62</v>
      </c>
      <c r="E33" s="37" t="s">
        <v>81</v>
      </c>
      <c r="F33" s="37" t="s">
        <v>63</v>
      </c>
      <c r="G33" s="77">
        <v>216</v>
      </c>
      <c r="H33" s="78">
        <v>1164.8599999999999</v>
      </c>
      <c r="I33" s="78">
        <v>251608.77</v>
      </c>
      <c r="J33" s="79">
        <v>0.1076</v>
      </c>
      <c r="K33" s="78">
        <v>224536.66</v>
      </c>
      <c r="L33" s="78">
        <v>25960.31</v>
      </c>
      <c r="M33" s="78">
        <v>250496.97</v>
      </c>
      <c r="N33" s="78">
        <v>2694439.87</v>
      </c>
      <c r="O33" s="78">
        <v>224536.66</v>
      </c>
      <c r="P33" s="37" t="s">
        <v>262</v>
      </c>
      <c r="Q33" s="80">
        <v>45383</v>
      </c>
      <c r="R33" s="37">
        <v>2024</v>
      </c>
      <c r="S33" s="37">
        <v>4</v>
      </c>
      <c r="T33" s="3"/>
      <c r="U33" s="68" t="b">
        <f t="shared" si="0"/>
        <v>1</v>
      </c>
      <c r="V33" s="68" t="b">
        <f t="shared" si="1"/>
        <v>1</v>
      </c>
      <c r="W33" s="68" t="b">
        <f t="shared" si="2"/>
        <v>1</v>
      </c>
      <c r="X33" s="68" t="b">
        <f t="shared" si="3"/>
        <v>1</v>
      </c>
      <c r="Y33" s="69" t="str">
        <f t="shared" si="4"/>
        <v>✅ PASS</v>
      </c>
    </row>
    <row r="34" spans="1:25" ht="15" customHeight="1" x14ac:dyDescent="0.25">
      <c r="A34" s="70"/>
      <c r="B34" s="33" t="s">
        <v>125</v>
      </c>
      <c r="C34" s="33" t="s">
        <v>67</v>
      </c>
      <c r="D34" s="33" t="s">
        <v>68</v>
      </c>
      <c r="E34" s="33" t="s">
        <v>81</v>
      </c>
      <c r="F34" s="33" t="s">
        <v>69</v>
      </c>
      <c r="G34" s="71">
        <v>252</v>
      </c>
      <c r="H34" s="72">
        <v>244.76</v>
      </c>
      <c r="I34" s="72">
        <v>61680.59</v>
      </c>
      <c r="J34" s="81">
        <v>0.12889999999999999</v>
      </c>
      <c r="K34" s="72">
        <v>53728.11</v>
      </c>
      <c r="L34" s="72">
        <v>-980.71</v>
      </c>
      <c r="M34" s="72">
        <v>52747.4</v>
      </c>
      <c r="N34" s="72">
        <v>644737.36</v>
      </c>
      <c r="O34" s="72">
        <v>53728.11</v>
      </c>
      <c r="P34" s="33" t="s">
        <v>262</v>
      </c>
      <c r="Q34" s="74">
        <v>45383</v>
      </c>
      <c r="R34" s="33">
        <v>2024</v>
      </c>
      <c r="S34" s="33">
        <v>4</v>
      </c>
      <c r="T34" s="3"/>
      <c r="U34" s="67" t="b">
        <f t="shared" si="0"/>
        <v>1</v>
      </c>
      <c r="V34" s="67" t="b">
        <f t="shared" si="1"/>
        <v>1</v>
      </c>
      <c r="W34" s="67" t="b">
        <f t="shared" si="2"/>
        <v>1</v>
      </c>
      <c r="X34" s="67" t="b">
        <f t="shared" si="3"/>
        <v>1</v>
      </c>
      <c r="Y34" s="75" t="str">
        <f t="shared" si="4"/>
        <v>✅ PASS</v>
      </c>
    </row>
    <row r="35" spans="1:25" ht="15" customHeight="1" x14ac:dyDescent="0.25">
      <c r="A35" s="76"/>
      <c r="B35" s="37" t="s">
        <v>125</v>
      </c>
      <c r="C35" s="37" t="s">
        <v>64</v>
      </c>
      <c r="D35" s="37" t="s">
        <v>65</v>
      </c>
      <c r="E35" s="37" t="s">
        <v>81</v>
      </c>
      <c r="F35" s="37" t="s">
        <v>63</v>
      </c>
      <c r="G35" s="77">
        <v>295</v>
      </c>
      <c r="H35" s="78">
        <v>451.1</v>
      </c>
      <c r="I35" s="78">
        <v>133074.63</v>
      </c>
      <c r="J35" s="82">
        <v>0.2424</v>
      </c>
      <c r="K35" s="78">
        <v>100815.91</v>
      </c>
      <c r="L35" s="78">
        <v>-4231.6899999999996</v>
      </c>
      <c r="M35" s="78">
        <v>96584.22</v>
      </c>
      <c r="N35" s="78">
        <v>1209790.95</v>
      </c>
      <c r="O35" s="78">
        <v>100815.91</v>
      </c>
      <c r="P35" s="37" t="s">
        <v>262</v>
      </c>
      <c r="Q35" s="80">
        <v>45383</v>
      </c>
      <c r="R35" s="37">
        <v>2024</v>
      </c>
      <c r="S35" s="37">
        <v>4</v>
      </c>
      <c r="T35" s="3"/>
      <c r="U35" s="68" t="b">
        <f t="shared" si="0"/>
        <v>1</v>
      </c>
      <c r="V35" s="68" t="b">
        <f t="shared" si="1"/>
        <v>1</v>
      </c>
      <c r="W35" s="68" t="b">
        <f t="shared" si="2"/>
        <v>1</v>
      </c>
      <c r="X35" s="68" t="b">
        <f t="shared" si="3"/>
        <v>1</v>
      </c>
      <c r="Y35" s="69" t="str">
        <f t="shared" si="4"/>
        <v>✅ PASS</v>
      </c>
    </row>
    <row r="36" spans="1:25" ht="15" customHeight="1" x14ac:dyDescent="0.25">
      <c r="A36" s="70"/>
      <c r="B36" s="33" t="s">
        <v>125</v>
      </c>
      <c r="C36" s="33" t="s">
        <v>64</v>
      </c>
      <c r="D36" s="33" t="s">
        <v>62</v>
      </c>
      <c r="E36" s="33" t="s">
        <v>78</v>
      </c>
      <c r="F36" s="33" t="s">
        <v>69</v>
      </c>
      <c r="G36" s="71">
        <v>287</v>
      </c>
      <c r="H36" s="72">
        <v>1017.02</v>
      </c>
      <c r="I36" s="72">
        <v>291884.78000000003</v>
      </c>
      <c r="J36" s="73">
        <v>0.1048</v>
      </c>
      <c r="K36" s="72">
        <v>261293.99</v>
      </c>
      <c r="L36" s="72">
        <v>22428.18</v>
      </c>
      <c r="M36" s="72">
        <v>283722.17</v>
      </c>
      <c r="N36" s="72">
        <v>3135527.94</v>
      </c>
      <c r="O36" s="72">
        <v>261293.99</v>
      </c>
      <c r="P36" s="33" t="s">
        <v>262</v>
      </c>
      <c r="Q36" s="74">
        <v>45383</v>
      </c>
      <c r="R36" s="33">
        <v>2024</v>
      </c>
      <c r="S36" s="33">
        <v>4</v>
      </c>
      <c r="T36" s="3"/>
      <c r="U36" s="67" t="b">
        <f t="shared" si="0"/>
        <v>1</v>
      </c>
      <c r="V36" s="67" t="b">
        <f t="shared" si="1"/>
        <v>1</v>
      </c>
      <c r="W36" s="67" t="b">
        <f t="shared" si="2"/>
        <v>1</v>
      </c>
      <c r="X36" s="67" t="b">
        <f t="shared" si="3"/>
        <v>1</v>
      </c>
      <c r="Y36" s="75" t="str">
        <f t="shared" si="4"/>
        <v>✅ PASS</v>
      </c>
    </row>
    <row r="37" spans="1:25" ht="15" customHeight="1" x14ac:dyDescent="0.25">
      <c r="A37" s="76"/>
      <c r="B37" s="37" t="s">
        <v>125</v>
      </c>
      <c r="C37" s="37" t="s">
        <v>64</v>
      </c>
      <c r="D37" s="37" t="s">
        <v>68</v>
      </c>
      <c r="E37" s="37" t="s">
        <v>75</v>
      </c>
      <c r="F37" s="37" t="s">
        <v>66</v>
      </c>
      <c r="G37" s="77">
        <v>109</v>
      </c>
      <c r="H37" s="78">
        <v>1059.18</v>
      </c>
      <c r="I37" s="78">
        <v>115450.9</v>
      </c>
      <c r="J37" s="79">
        <v>0.104</v>
      </c>
      <c r="K37" s="78">
        <v>103447.97</v>
      </c>
      <c r="L37" s="78">
        <v>1433.77</v>
      </c>
      <c r="M37" s="78">
        <v>104881.73</v>
      </c>
      <c r="N37" s="78">
        <v>1241375.5900000001</v>
      </c>
      <c r="O37" s="78">
        <v>103447.97</v>
      </c>
      <c r="P37" s="37" t="s">
        <v>262</v>
      </c>
      <c r="Q37" s="80">
        <v>45383</v>
      </c>
      <c r="R37" s="37">
        <v>2024</v>
      </c>
      <c r="S37" s="37">
        <v>4</v>
      </c>
      <c r="T37" s="3"/>
      <c r="U37" s="68" t="b">
        <f t="shared" si="0"/>
        <v>1</v>
      </c>
      <c r="V37" s="68" t="b">
        <f t="shared" si="1"/>
        <v>1</v>
      </c>
      <c r="W37" s="68" t="b">
        <f t="shared" si="2"/>
        <v>1</v>
      </c>
      <c r="X37" s="68" t="b">
        <f t="shared" si="3"/>
        <v>1</v>
      </c>
      <c r="Y37" s="69" t="str">
        <f t="shared" si="4"/>
        <v>✅ PASS</v>
      </c>
    </row>
    <row r="38" spans="1:25" ht="15" customHeight="1" x14ac:dyDescent="0.25">
      <c r="A38" s="70"/>
      <c r="B38" s="33" t="s">
        <v>126</v>
      </c>
      <c r="C38" s="33" t="s">
        <v>61</v>
      </c>
      <c r="D38" s="33" t="s">
        <v>65</v>
      </c>
      <c r="E38" s="33" t="s">
        <v>78</v>
      </c>
      <c r="F38" s="33" t="s">
        <v>69</v>
      </c>
      <c r="G38" s="71">
        <v>55</v>
      </c>
      <c r="H38" s="72">
        <v>798.4</v>
      </c>
      <c r="I38" s="72">
        <v>43912.2</v>
      </c>
      <c r="J38" s="81">
        <v>0.1709</v>
      </c>
      <c r="K38" s="72">
        <v>36407.730000000003</v>
      </c>
      <c r="L38" s="72">
        <v>-1854.21</v>
      </c>
      <c r="M38" s="72">
        <v>34553.519999999997</v>
      </c>
      <c r="N38" s="72">
        <v>436892.76</v>
      </c>
      <c r="O38" s="72">
        <v>36407.730000000003</v>
      </c>
      <c r="P38" s="33" t="s">
        <v>262</v>
      </c>
      <c r="Q38" s="74">
        <v>45413</v>
      </c>
      <c r="R38" s="33">
        <v>2024</v>
      </c>
      <c r="S38" s="33">
        <v>5</v>
      </c>
      <c r="T38" s="3"/>
      <c r="U38" s="67" t="b">
        <f t="shared" si="0"/>
        <v>1</v>
      </c>
      <c r="V38" s="67" t="b">
        <f t="shared" si="1"/>
        <v>1</v>
      </c>
      <c r="W38" s="67" t="b">
        <f t="shared" si="2"/>
        <v>1</v>
      </c>
      <c r="X38" s="67" t="b">
        <f t="shared" si="3"/>
        <v>1</v>
      </c>
      <c r="Y38" s="75" t="str">
        <f t="shared" si="4"/>
        <v>✅ PASS</v>
      </c>
    </row>
    <row r="39" spans="1:25" ht="15" customHeight="1" x14ac:dyDescent="0.25">
      <c r="A39" s="76"/>
      <c r="B39" s="37" t="s">
        <v>126</v>
      </c>
      <c r="C39" s="37" t="s">
        <v>61</v>
      </c>
      <c r="D39" s="37" t="s">
        <v>62</v>
      </c>
      <c r="E39" s="37" t="s">
        <v>75</v>
      </c>
      <c r="F39" s="37" t="s">
        <v>69</v>
      </c>
      <c r="G39" s="77">
        <v>260</v>
      </c>
      <c r="H39" s="78">
        <v>958.12</v>
      </c>
      <c r="I39" s="78">
        <v>249110.93</v>
      </c>
      <c r="J39" s="79">
        <v>6.9699999999999998E-2</v>
      </c>
      <c r="K39" s="78">
        <v>231749.2</v>
      </c>
      <c r="L39" s="78">
        <v>400.22</v>
      </c>
      <c r="M39" s="78">
        <v>232149.41</v>
      </c>
      <c r="N39" s="78">
        <v>2780990.38</v>
      </c>
      <c r="O39" s="78">
        <v>231749.2</v>
      </c>
      <c r="P39" s="37" t="s">
        <v>262</v>
      </c>
      <c r="Q39" s="80">
        <v>45413</v>
      </c>
      <c r="R39" s="37">
        <v>2024</v>
      </c>
      <c r="S39" s="37">
        <v>5</v>
      </c>
      <c r="T39" s="3"/>
      <c r="U39" s="68" t="b">
        <f t="shared" si="0"/>
        <v>1</v>
      </c>
      <c r="V39" s="68" t="b">
        <f t="shared" si="1"/>
        <v>1</v>
      </c>
      <c r="W39" s="68" t="b">
        <f t="shared" si="2"/>
        <v>1</v>
      </c>
      <c r="X39" s="68" t="b">
        <f t="shared" si="3"/>
        <v>1</v>
      </c>
      <c r="Y39" s="69" t="str">
        <f t="shared" si="4"/>
        <v>✅ PASS</v>
      </c>
    </row>
    <row r="40" spans="1:25" ht="15" customHeight="1" x14ac:dyDescent="0.25">
      <c r="A40" s="70"/>
      <c r="B40" s="33" t="s">
        <v>126</v>
      </c>
      <c r="C40" s="33" t="s">
        <v>61</v>
      </c>
      <c r="D40" s="33" t="s">
        <v>68</v>
      </c>
      <c r="E40" s="33" t="s">
        <v>75</v>
      </c>
      <c r="F40" s="33" t="s">
        <v>63</v>
      </c>
      <c r="G40" s="71">
        <v>282</v>
      </c>
      <c r="H40" s="72">
        <v>892.37</v>
      </c>
      <c r="I40" s="72">
        <v>251649.63</v>
      </c>
      <c r="J40" s="81">
        <v>0.14729999999999999</v>
      </c>
      <c r="K40" s="72">
        <v>214579.20000000001</v>
      </c>
      <c r="L40" s="72">
        <v>-917.86</v>
      </c>
      <c r="M40" s="72">
        <v>213661.34</v>
      </c>
      <c r="N40" s="72">
        <v>2574950.37</v>
      </c>
      <c r="O40" s="72">
        <v>214579.20000000001</v>
      </c>
      <c r="P40" s="33" t="s">
        <v>262</v>
      </c>
      <c r="Q40" s="74">
        <v>45413</v>
      </c>
      <c r="R40" s="33">
        <v>2024</v>
      </c>
      <c r="S40" s="33">
        <v>5</v>
      </c>
      <c r="T40" s="3"/>
      <c r="U40" s="67" t="b">
        <f t="shared" si="0"/>
        <v>1</v>
      </c>
      <c r="V40" s="67" t="b">
        <f t="shared" si="1"/>
        <v>1</v>
      </c>
      <c r="W40" s="67" t="b">
        <f t="shared" si="2"/>
        <v>1</v>
      </c>
      <c r="X40" s="67" t="b">
        <f t="shared" si="3"/>
        <v>1</v>
      </c>
      <c r="Y40" s="75" t="str">
        <f t="shared" si="4"/>
        <v>✅ PASS</v>
      </c>
    </row>
    <row r="41" spans="1:25" ht="15" customHeight="1" x14ac:dyDescent="0.25">
      <c r="A41" s="76"/>
      <c r="B41" s="37" t="s">
        <v>126</v>
      </c>
      <c r="C41" s="37" t="s">
        <v>67</v>
      </c>
      <c r="D41" s="37" t="s">
        <v>65</v>
      </c>
      <c r="E41" s="37" t="s">
        <v>78</v>
      </c>
      <c r="F41" s="37" t="s">
        <v>69</v>
      </c>
      <c r="G41" s="77">
        <v>153</v>
      </c>
      <c r="H41" s="78">
        <v>287.64999999999998</v>
      </c>
      <c r="I41" s="78">
        <v>44010.78</v>
      </c>
      <c r="J41" s="79">
        <v>8.2000000000000007E-3</v>
      </c>
      <c r="K41" s="78">
        <v>43648.480000000003</v>
      </c>
      <c r="L41" s="78">
        <v>5225.45</v>
      </c>
      <c r="M41" s="78">
        <v>48873.93</v>
      </c>
      <c r="N41" s="78">
        <v>523781.81</v>
      </c>
      <c r="O41" s="78">
        <v>43648.480000000003</v>
      </c>
      <c r="P41" s="37" t="s">
        <v>262</v>
      </c>
      <c r="Q41" s="80">
        <v>45413</v>
      </c>
      <c r="R41" s="37">
        <v>2024</v>
      </c>
      <c r="S41" s="37">
        <v>5</v>
      </c>
      <c r="T41" s="3"/>
      <c r="U41" s="68" t="b">
        <f t="shared" si="0"/>
        <v>1</v>
      </c>
      <c r="V41" s="68" t="b">
        <f t="shared" si="1"/>
        <v>1</v>
      </c>
      <c r="W41" s="68" t="b">
        <f t="shared" si="2"/>
        <v>1</v>
      </c>
      <c r="X41" s="68" t="b">
        <f t="shared" si="3"/>
        <v>1</v>
      </c>
      <c r="Y41" s="69" t="str">
        <f t="shared" si="4"/>
        <v>✅ PASS</v>
      </c>
    </row>
    <row r="42" spans="1:25" ht="15" customHeight="1" x14ac:dyDescent="0.25">
      <c r="A42" s="70"/>
      <c r="B42" s="33" t="s">
        <v>126</v>
      </c>
      <c r="C42" s="33" t="s">
        <v>67</v>
      </c>
      <c r="D42" s="33" t="s">
        <v>62</v>
      </c>
      <c r="E42" s="33" t="s">
        <v>75</v>
      </c>
      <c r="F42" s="33" t="s">
        <v>66</v>
      </c>
      <c r="G42" s="71">
        <v>141</v>
      </c>
      <c r="H42" s="72">
        <v>232.42</v>
      </c>
      <c r="I42" s="72">
        <v>32771.379999999997</v>
      </c>
      <c r="J42" s="73">
        <v>3.7199999999999997E-2</v>
      </c>
      <c r="K42" s="72">
        <v>31551.22</v>
      </c>
      <c r="L42" s="72">
        <v>-2388.08</v>
      </c>
      <c r="M42" s="72">
        <v>29163.14</v>
      </c>
      <c r="N42" s="72">
        <v>378614.59</v>
      </c>
      <c r="O42" s="72">
        <v>31551.22</v>
      </c>
      <c r="P42" s="33" t="s">
        <v>262</v>
      </c>
      <c r="Q42" s="74">
        <v>45413</v>
      </c>
      <c r="R42" s="33">
        <v>2024</v>
      </c>
      <c r="S42" s="33">
        <v>5</v>
      </c>
      <c r="T42" s="3"/>
      <c r="U42" s="67" t="b">
        <f t="shared" si="0"/>
        <v>1</v>
      </c>
      <c r="V42" s="67" t="b">
        <f t="shared" si="1"/>
        <v>1</v>
      </c>
      <c r="W42" s="67" t="b">
        <f t="shared" si="2"/>
        <v>1</v>
      </c>
      <c r="X42" s="67" t="b">
        <f t="shared" si="3"/>
        <v>1</v>
      </c>
      <c r="Y42" s="75" t="str">
        <f t="shared" si="4"/>
        <v>✅ PASS</v>
      </c>
    </row>
    <row r="43" spans="1:25" ht="15" customHeight="1" x14ac:dyDescent="0.25">
      <c r="A43" s="76"/>
      <c r="B43" s="37" t="s">
        <v>126</v>
      </c>
      <c r="C43" s="37" t="s">
        <v>67</v>
      </c>
      <c r="D43" s="37" t="s">
        <v>68</v>
      </c>
      <c r="E43" s="37" t="s">
        <v>75</v>
      </c>
      <c r="F43" s="37" t="s">
        <v>69</v>
      </c>
      <c r="G43" s="77">
        <v>272</v>
      </c>
      <c r="H43" s="78">
        <v>639.66</v>
      </c>
      <c r="I43" s="78">
        <v>173987.33</v>
      </c>
      <c r="J43" s="79">
        <v>4.1399999999999999E-2</v>
      </c>
      <c r="K43" s="78">
        <v>166790.26999999999</v>
      </c>
      <c r="L43" s="78">
        <v>938.58</v>
      </c>
      <c r="M43" s="78">
        <v>167728.85999999999</v>
      </c>
      <c r="N43" s="78">
        <v>2001483.24</v>
      </c>
      <c r="O43" s="78">
        <v>166790.26999999999</v>
      </c>
      <c r="P43" s="37" t="s">
        <v>262</v>
      </c>
      <c r="Q43" s="80">
        <v>45413</v>
      </c>
      <c r="R43" s="37">
        <v>2024</v>
      </c>
      <c r="S43" s="37">
        <v>5</v>
      </c>
      <c r="T43" s="3"/>
      <c r="U43" s="68" t="b">
        <f t="shared" si="0"/>
        <v>1</v>
      </c>
      <c r="V43" s="68" t="b">
        <f t="shared" si="1"/>
        <v>1</v>
      </c>
      <c r="W43" s="68" t="b">
        <f t="shared" si="2"/>
        <v>1</v>
      </c>
      <c r="X43" s="68" t="b">
        <f t="shared" si="3"/>
        <v>1</v>
      </c>
      <c r="Y43" s="69" t="str">
        <f t="shared" si="4"/>
        <v>✅ PASS</v>
      </c>
    </row>
    <row r="44" spans="1:25" ht="15" customHeight="1" x14ac:dyDescent="0.25">
      <c r="A44" s="70"/>
      <c r="B44" s="33" t="s">
        <v>126</v>
      </c>
      <c r="C44" s="33" t="s">
        <v>64</v>
      </c>
      <c r="D44" s="33" t="s">
        <v>65</v>
      </c>
      <c r="E44" s="33" t="s">
        <v>75</v>
      </c>
      <c r="F44" s="33" t="s">
        <v>66</v>
      </c>
      <c r="G44" s="71">
        <v>139</v>
      </c>
      <c r="H44" s="72">
        <v>1122.26</v>
      </c>
      <c r="I44" s="72">
        <v>155994.67000000001</v>
      </c>
      <c r="J44" s="81">
        <v>0.15670000000000001</v>
      </c>
      <c r="K44" s="72">
        <v>131554.63</v>
      </c>
      <c r="L44" s="72">
        <v>19276.009999999998</v>
      </c>
      <c r="M44" s="72">
        <v>150830.64000000001</v>
      </c>
      <c r="N44" s="72">
        <v>1578655.6</v>
      </c>
      <c r="O44" s="72">
        <v>131554.63</v>
      </c>
      <c r="P44" s="33" t="s">
        <v>262</v>
      </c>
      <c r="Q44" s="74">
        <v>45413</v>
      </c>
      <c r="R44" s="33">
        <v>2024</v>
      </c>
      <c r="S44" s="33">
        <v>5</v>
      </c>
      <c r="T44" s="3"/>
      <c r="U44" s="67" t="b">
        <f t="shared" si="0"/>
        <v>1</v>
      </c>
      <c r="V44" s="67" t="b">
        <f t="shared" si="1"/>
        <v>1</v>
      </c>
      <c r="W44" s="67" t="b">
        <f t="shared" si="2"/>
        <v>1</v>
      </c>
      <c r="X44" s="67" t="b">
        <f t="shared" si="3"/>
        <v>1</v>
      </c>
      <c r="Y44" s="75" t="str">
        <f t="shared" si="4"/>
        <v>✅ PASS</v>
      </c>
    </row>
    <row r="45" spans="1:25" ht="15" customHeight="1" x14ac:dyDescent="0.25">
      <c r="A45" s="76"/>
      <c r="B45" s="37" t="s">
        <v>126</v>
      </c>
      <c r="C45" s="37" t="s">
        <v>64</v>
      </c>
      <c r="D45" s="37" t="s">
        <v>62</v>
      </c>
      <c r="E45" s="37" t="s">
        <v>78</v>
      </c>
      <c r="F45" s="37" t="s">
        <v>69</v>
      </c>
      <c r="G45" s="77">
        <v>112</v>
      </c>
      <c r="H45" s="78">
        <v>441.77</v>
      </c>
      <c r="I45" s="78">
        <v>49478.45</v>
      </c>
      <c r="J45" s="79">
        <v>1.72E-2</v>
      </c>
      <c r="K45" s="78">
        <v>48626.46</v>
      </c>
      <c r="L45" s="78">
        <v>-2851.52</v>
      </c>
      <c r="M45" s="78">
        <v>45774.93</v>
      </c>
      <c r="N45" s="78">
        <v>583517.49</v>
      </c>
      <c r="O45" s="78">
        <v>48626.46</v>
      </c>
      <c r="P45" s="37" t="s">
        <v>262</v>
      </c>
      <c r="Q45" s="80">
        <v>45413</v>
      </c>
      <c r="R45" s="37">
        <v>2024</v>
      </c>
      <c r="S45" s="37">
        <v>5</v>
      </c>
      <c r="T45" s="3"/>
      <c r="U45" s="68" t="b">
        <f t="shared" si="0"/>
        <v>1</v>
      </c>
      <c r="V45" s="68" t="b">
        <f t="shared" si="1"/>
        <v>1</v>
      </c>
      <c r="W45" s="68" t="b">
        <f t="shared" si="2"/>
        <v>1</v>
      </c>
      <c r="X45" s="68" t="b">
        <f t="shared" si="3"/>
        <v>1</v>
      </c>
      <c r="Y45" s="69" t="str">
        <f t="shared" si="4"/>
        <v>✅ PASS</v>
      </c>
    </row>
    <row r="46" spans="1:25" ht="15" customHeight="1" x14ac:dyDescent="0.25">
      <c r="A46" s="70"/>
      <c r="B46" s="33" t="s">
        <v>126</v>
      </c>
      <c r="C46" s="33" t="s">
        <v>64</v>
      </c>
      <c r="D46" s="33" t="s">
        <v>68</v>
      </c>
      <c r="E46" s="33" t="s">
        <v>75</v>
      </c>
      <c r="F46" s="33" t="s">
        <v>66</v>
      </c>
      <c r="G46" s="71">
        <v>252</v>
      </c>
      <c r="H46" s="72">
        <v>252.08</v>
      </c>
      <c r="I46" s="72">
        <v>63523.92</v>
      </c>
      <c r="J46" s="73">
        <v>4.8899999999999999E-2</v>
      </c>
      <c r="K46" s="72">
        <v>60418.51</v>
      </c>
      <c r="L46" s="72">
        <v>-1666.13</v>
      </c>
      <c r="M46" s="72">
        <v>58752.38</v>
      </c>
      <c r="N46" s="72">
        <v>725022.07</v>
      </c>
      <c r="O46" s="72">
        <v>60418.51</v>
      </c>
      <c r="P46" s="33" t="s">
        <v>262</v>
      </c>
      <c r="Q46" s="74">
        <v>45413</v>
      </c>
      <c r="R46" s="33">
        <v>2024</v>
      </c>
      <c r="S46" s="33">
        <v>5</v>
      </c>
      <c r="T46" s="3"/>
      <c r="U46" s="67" t="b">
        <f t="shared" si="0"/>
        <v>1</v>
      </c>
      <c r="V46" s="67" t="b">
        <f t="shared" si="1"/>
        <v>1</v>
      </c>
      <c r="W46" s="67" t="b">
        <f t="shared" si="2"/>
        <v>1</v>
      </c>
      <c r="X46" s="67" t="b">
        <f t="shared" si="3"/>
        <v>1</v>
      </c>
      <c r="Y46" s="75" t="str">
        <f t="shared" si="4"/>
        <v>✅ PASS</v>
      </c>
    </row>
    <row r="47" spans="1:25" ht="15" customHeight="1" x14ac:dyDescent="0.25">
      <c r="A47" s="76"/>
      <c r="B47" s="37" t="s">
        <v>127</v>
      </c>
      <c r="C47" s="37" t="s">
        <v>61</v>
      </c>
      <c r="D47" s="37" t="s">
        <v>65</v>
      </c>
      <c r="E47" s="37" t="s">
        <v>78</v>
      </c>
      <c r="F47" s="37" t="s">
        <v>69</v>
      </c>
      <c r="G47" s="77">
        <v>286</v>
      </c>
      <c r="H47" s="78">
        <v>499.94</v>
      </c>
      <c r="I47" s="78">
        <v>142982.25</v>
      </c>
      <c r="J47" s="79">
        <v>2.3E-2</v>
      </c>
      <c r="K47" s="78">
        <v>139698.99</v>
      </c>
      <c r="L47" s="78">
        <v>13513.77</v>
      </c>
      <c r="M47" s="78">
        <v>153212.76</v>
      </c>
      <c r="N47" s="78">
        <v>1676387.88</v>
      </c>
      <c r="O47" s="78">
        <v>139698.99</v>
      </c>
      <c r="P47" s="37" t="s">
        <v>262</v>
      </c>
      <c r="Q47" s="80">
        <v>45444</v>
      </c>
      <c r="R47" s="37">
        <v>2024</v>
      </c>
      <c r="S47" s="37">
        <v>6</v>
      </c>
      <c r="T47" s="3"/>
      <c r="U47" s="68" t="b">
        <f t="shared" si="0"/>
        <v>1</v>
      </c>
      <c r="V47" s="68" t="b">
        <f t="shared" si="1"/>
        <v>1</v>
      </c>
      <c r="W47" s="68" t="b">
        <f t="shared" si="2"/>
        <v>1</v>
      </c>
      <c r="X47" s="68" t="b">
        <f t="shared" si="3"/>
        <v>1</v>
      </c>
      <c r="Y47" s="69" t="str">
        <f t="shared" si="4"/>
        <v>✅ PASS</v>
      </c>
    </row>
    <row r="48" spans="1:25" ht="15" customHeight="1" x14ac:dyDescent="0.25">
      <c r="A48" s="70"/>
      <c r="B48" s="33" t="s">
        <v>127</v>
      </c>
      <c r="C48" s="33" t="s">
        <v>61</v>
      </c>
      <c r="D48" s="33" t="s">
        <v>62</v>
      </c>
      <c r="E48" s="33" t="s">
        <v>81</v>
      </c>
      <c r="F48" s="33" t="s">
        <v>63</v>
      </c>
      <c r="G48" s="71">
        <v>89</v>
      </c>
      <c r="H48" s="72">
        <v>458.17</v>
      </c>
      <c r="I48" s="72">
        <v>40777.480000000003</v>
      </c>
      <c r="J48" s="73">
        <v>8.6499999999999994E-2</v>
      </c>
      <c r="K48" s="72">
        <v>37250.06</v>
      </c>
      <c r="L48" s="72">
        <v>-2222.8000000000002</v>
      </c>
      <c r="M48" s="72">
        <v>35027.26</v>
      </c>
      <c r="N48" s="72">
        <v>447000.7</v>
      </c>
      <c r="O48" s="72">
        <v>37250.06</v>
      </c>
      <c r="P48" s="33" t="s">
        <v>262</v>
      </c>
      <c r="Q48" s="74">
        <v>45444</v>
      </c>
      <c r="R48" s="33">
        <v>2024</v>
      </c>
      <c r="S48" s="33">
        <v>6</v>
      </c>
      <c r="T48" s="3"/>
      <c r="U48" s="67" t="b">
        <f t="shared" si="0"/>
        <v>1</v>
      </c>
      <c r="V48" s="67" t="b">
        <f t="shared" si="1"/>
        <v>1</v>
      </c>
      <c r="W48" s="67" t="b">
        <f t="shared" si="2"/>
        <v>1</v>
      </c>
      <c r="X48" s="67" t="b">
        <f t="shared" si="3"/>
        <v>1</v>
      </c>
      <c r="Y48" s="75" t="str">
        <f t="shared" si="4"/>
        <v>✅ PASS</v>
      </c>
    </row>
    <row r="49" spans="1:25" ht="15" customHeight="1" x14ac:dyDescent="0.25">
      <c r="A49" s="76"/>
      <c r="B49" s="37" t="s">
        <v>127</v>
      </c>
      <c r="C49" s="37" t="s">
        <v>61</v>
      </c>
      <c r="D49" s="37" t="s">
        <v>68</v>
      </c>
      <c r="E49" s="37" t="s">
        <v>81</v>
      </c>
      <c r="F49" s="37" t="s">
        <v>69</v>
      </c>
      <c r="G49" s="77">
        <v>131</v>
      </c>
      <c r="H49" s="78">
        <v>387.29</v>
      </c>
      <c r="I49" s="78">
        <v>50735.09</v>
      </c>
      <c r="J49" s="79">
        <v>1.5800000000000002E-2</v>
      </c>
      <c r="K49" s="78">
        <v>49935.98</v>
      </c>
      <c r="L49" s="78">
        <v>6685.07</v>
      </c>
      <c r="M49" s="78">
        <v>56621.05</v>
      </c>
      <c r="N49" s="78">
        <v>599231.80000000005</v>
      </c>
      <c r="O49" s="78">
        <v>49935.98</v>
      </c>
      <c r="P49" s="37" t="s">
        <v>262</v>
      </c>
      <c r="Q49" s="80">
        <v>45444</v>
      </c>
      <c r="R49" s="37">
        <v>2024</v>
      </c>
      <c r="S49" s="37">
        <v>6</v>
      </c>
      <c r="T49" s="3"/>
      <c r="U49" s="68" t="b">
        <f t="shared" si="0"/>
        <v>1</v>
      </c>
      <c r="V49" s="68" t="b">
        <f t="shared" si="1"/>
        <v>1</v>
      </c>
      <c r="W49" s="68" t="b">
        <f t="shared" si="2"/>
        <v>1</v>
      </c>
      <c r="X49" s="68" t="b">
        <f t="shared" si="3"/>
        <v>1</v>
      </c>
      <c r="Y49" s="69" t="str">
        <f t="shared" si="4"/>
        <v>✅ PASS</v>
      </c>
    </row>
    <row r="50" spans="1:25" ht="15" customHeight="1" x14ac:dyDescent="0.25">
      <c r="A50" s="70"/>
      <c r="B50" s="33" t="s">
        <v>127</v>
      </c>
      <c r="C50" s="33" t="s">
        <v>67</v>
      </c>
      <c r="D50" s="33" t="s">
        <v>65</v>
      </c>
      <c r="E50" s="33" t="s">
        <v>81</v>
      </c>
      <c r="F50" s="33" t="s">
        <v>63</v>
      </c>
      <c r="G50" s="71">
        <v>88</v>
      </c>
      <c r="H50" s="72">
        <v>599.86</v>
      </c>
      <c r="I50" s="72">
        <v>52787.63</v>
      </c>
      <c r="J50" s="81">
        <v>0.19869999999999999</v>
      </c>
      <c r="K50" s="72">
        <v>42297.07</v>
      </c>
      <c r="L50" s="72">
        <v>-832.68</v>
      </c>
      <c r="M50" s="72">
        <v>41464.39</v>
      </c>
      <c r="N50" s="72">
        <v>507564.79</v>
      </c>
      <c r="O50" s="72">
        <v>42297.07</v>
      </c>
      <c r="P50" s="33" t="s">
        <v>262</v>
      </c>
      <c r="Q50" s="74">
        <v>45444</v>
      </c>
      <c r="R50" s="33">
        <v>2024</v>
      </c>
      <c r="S50" s="33">
        <v>6</v>
      </c>
      <c r="T50" s="3"/>
      <c r="U50" s="67" t="b">
        <f t="shared" si="0"/>
        <v>1</v>
      </c>
      <c r="V50" s="67" t="b">
        <f t="shared" si="1"/>
        <v>1</v>
      </c>
      <c r="W50" s="67" t="b">
        <f t="shared" si="2"/>
        <v>1</v>
      </c>
      <c r="X50" s="67" t="b">
        <f t="shared" si="3"/>
        <v>1</v>
      </c>
      <c r="Y50" s="75" t="str">
        <f t="shared" si="4"/>
        <v>✅ PASS</v>
      </c>
    </row>
    <row r="51" spans="1:25" ht="15" customHeight="1" x14ac:dyDescent="0.25">
      <c r="A51" s="76"/>
      <c r="B51" s="37" t="s">
        <v>127</v>
      </c>
      <c r="C51" s="37" t="s">
        <v>67</v>
      </c>
      <c r="D51" s="37" t="s">
        <v>62</v>
      </c>
      <c r="E51" s="37" t="s">
        <v>78</v>
      </c>
      <c r="F51" s="37" t="s">
        <v>63</v>
      </c>
      <c r="G51" s="77">
        <v>138</v>
      </c>
      <c r="H51" s="78">
        <v>1177.54</v>
      </c>
      <c r="I51" s="78">
        <v>162500.97</v>
      </c>
      <c r="J51" s="82">
        <v>0.1832</v>
      </c>
      <c r="K51" s="78">
        <v>132722.95000000001</v>
      </c>
      <c r="L51" s="78">
        <v>-13177.66</v>
      </c>
      <c r="M51" s="78">
        <v>119545.3</v>
      </c>
      <c r="N51" s="78">
        <v>1592675.46</v>
      </c>
      <c r="O51" s="78">
        <v>132722.95000000001</v>
      </c>
      <c r="P51" s="37" t="s">
        <v>262</v>
      </c>
      <c r="Q51" s="80">
        <v>45444</v>
      </c>
      <c r="R51" s="37">
        <v>2024</v>
      </c>
      <c r="S51" s="37">
        <v>6</v>
      </c>
      <c r="T51" s="3"/>
      <c r="U51" s="68" t="b">
        <f t="shared" si="0"/>
        <v>1</v>
      </c>
      <c r="V51" s="68" t="b">
        <f t="shared" si="1"/>
        <v>1</v>
      </c>
      <c r="W51" s="68" t="b">
        <f t="shared" si="2"/>
        <v>1</v>
      </c>
      <c r="X51" s="68" t="b">
        <f t="shared" si="3"/>
        <v>1</v>
      </c>
      <c r="Y51" s="69" t="str">
        <f t="shared" si="4"/>
        <v>✅ PASS</v>
      </c>
    </row>
    <row r="52" spans="1:25" ht="15" customHeight="1" x14ac:dyDescent="0.25">
      <c r="A52" s="70"/>
      <c r="B52" s="33" t="s">
        <v>127</v>
      </c>
      <c r="C52" s="33" t="s">
        <v>67</v>
      </c>
      <c r="D52" s="33" t="s">
        <v>68</v>
      </c>
      <c r="E52" s="33" t="s">
        <v>81</v>
      </c>
      <c r="F52" s="33" t="s">
        <v>63</v>
      </c>
      <c r="G52" s="71">
        <v>190</v>
      </c>
      <c r="H52" s="72">
        <v>572.87</v>
      </c>
      <c r="I52" s="72">
        <v>108846.11</v>
      </c>
      <c r="J52" s="73">
        <v>1.12E-2</v>
      </c>
      <c r="K52" s="72">
        <v>107628.24</v>
      </c>
      <c r="L52" s="72">
        <v>10455.08</v>
      </c>
      <c r="M52" s="72">
        <v>118083.32</v>
      </c>
      <c r="N52" s="72">
        <v>1291538.8700000001</v>
      </c>
      <c r="O52" s="72">
        <v>107628.24</v>
      </c>
      <c r="P52" s="33" t="s">
        <v>262</v>
      </c>
      <c r="Q52" s="74">
        <v>45444</v>
      </c>
      <c r="R52" s="33">
        <v>2024</v>
      </c>
      <c r="S52" s="33">
        <v>6</v>
      </c>
      <c r="T52" s="3"/>
      <c r="U52" s="67" t="b">
        <f t="shared" si="0"/>
        <v>1</v>
      </c>
      <c r="V52" s="67" t="b">
        <f t="shared" si="1"/>
        <v>1</v>
      </c>
      <c r="W52" s="67" t="b">
        <f t="shared" si="2"/>
        <v>1</v>
      </c>
      <c r="X52" s="67" t="b">
        <f t="shared" si="3"/>
        <v>1</v>
      </c>
      <c r="Y52" s="75" t="str">
        <f t="shared" si="4"/>
        <v>✅ PASS</v>
      </c>
    </row>
    <row r="53" spans="1:25" ht="15" customHeight="1" x14ac:dyDescent="0.25">
      <c r="A53" s="76"/>
      <c r="B53" s="37" t="s">
        <v>127</v>
      </c>
      <c r="C53" s="37" t="s">
        <v>64</v>
      </c>
      <c r="D53" s="37" t="s">
        <v>65</v>
      </c>
      <c r="E53" s="37" t="s">
        <v>75</v>
      </c>
      <c r="F53" s="37" t="s">
        <v>69</v>
      </c>
      <c r="G53" s="77">
        <v>56</v>
      </c>
      <c r="H53" s="78">
        <v>888.89</v>
      </c>
      <c r="I53" s="78">
        <v>49777.88</v>
      </c>
      <c r="J53" s="82">
        <v>0.1615</v>
      </c>
      <c r="K53" s="78">
        <v>41738.239999999998</v>
      </c>
      <c r="L53" s="78">
        <v>5208.16</v>
      </c>
      <c r="M53" s="78">
        <v>46946.400000000001</v>
      </c>
      <c r="N53" s="78">
        <v>500858.92</v>
      </c>
      <c r="O53" s="78">
        <v>41738.239999999998</v>
      </c>
      <c r="P53" s="37" t="s">
        <v>262</v>
      </c>
      <c r="Q53" s="80">
        <v>45444</v>
      </c>
      <c r="R53" s="37">
        <v>2024</v>
      </c>
      <c r="S53" s="37">
        <v>6</v>
      </c>
      <c r="T53" s="3"/>
      <c r="U53" s="68" t="b">
        <f t="shared" si="0"/>
        <v>1</v>
      </c>
      <c r="V53" s="68" t="b">
        <f t="shared" si="1"/>
        <v>1</v>
      </c>
      <c r="W53" s="68" t="b">
        <f t="shared" si="2"/>
        <v>1</v>
      </c>
      <c r="X53" s="68" t="b">
        <f t="shared" si="3"/>
        <v>1</v>
      </c>
      <c r="Y53" s="69" t="str">
        <f t="shared" si="4"/>
        <v>✅ PASS</v>
      </c>
    </row>
    <row r="54" spans="1:25" ht="15" customHeight="1" x14ac:dyDescent="0.25">
      <c r="A54" s="70"/>
      <c r="B54" s="33" t="s">
        <v>127</v>
      </c>
      <c r="C54" s="33" t="s">
        <v>64</v>
      </c>
      <c r="D54" s="33" t="s">
        <v>62</v>
      </c>
      <c r="E54" s="33" t="s">
        <v>75</v>
      </c>
      <c r="F54" s="33" t="s">
        <v>66</v>
      </c>
      <c r="G54" s="71">
        <v>248</v>
      </c>
      <c r="H54" s="72">
        <v>377.26</v>
      </c>
      <c r="I54" s="72">
        <v>93561.18</v>
      </c>
      <c r="J54" s="81">
        <v>0.19850000000000001</v>
      </c>
      <c r="K54" s="72">
        <v>74986.990000000005</v>
      </c>
      <c r="L54" s="72">
        <v>4970.72</v>
      </c>
      <c r="M54" s="72">
        <v>79957.710000000006</v>
      </c>
      <c r="N54" s="72">
        <v>899843.86</v>
      </c>
      <c r="O54" s="72">
        <v>74986.990000000005</v>
      </c>
      <c r="P54" s="33" t="s">
        <v>262</v>
      </c>
      <c r="Q54" s="74">
        <v>45444</v>
      </c>
      <c r="R54" s="33">
        <v>2024</v>
      </c>
      <c r="S54" s="33">
        <v>6</v>
      </c>
      <c r="T54" s="3"/>
      <c r="U54" s="67" t="b">
        <f t="shared" si="0"/>
        <v>1</v>
      </c>
      <c r="V54" s="67" t="b">
        <f t="shared" si="1"/>
        <v>1</v>
      </c>
      <c r="W54" s="67" t="b">
        <f t="shared" si="2"/>
        <v>1</v>
      </c>
      <c r="X54" s="67" t="b">
        <f t="shared" si="3"/>
        <v>1</v>
      </c>
      <c r="Y54" s="75" t="str">
        <f t="shared" si="4"/>
        <v>✅ PASS</v>
      </c>
    </row>
    <row r="55" spans="1:25" ht="15" customHeight="1" x14ac:dyDescent="0.25">
      <c r="A55" s="76"/>
      <c r="B55" s="37" t="s">
        <v>127</v>
      </c>
      <c r="C55" s="37" t="s">
        <v>64</v>
      </c>
      <c r="D55" s="37" t="s">
        <v>68</v>
      </c>
      <c r="E55" s="37" t="s">
        <v>78</v>
      </c>
      <c r="F55" s="37" t="s">
        <v>63</v>
      </c>
      <c r="G55" s="77">
        <v>95</v>
      </c>
      <c r="H55" s="78">
        <v>794.08</v>
      </c>
      <c r="I55" s="78">
        <v>75437.240000000005</v>
      </c>
      <c r="J55" s="82">
        <v>0.1215</v>
      </c>
      <c r="K55" s="78">
        <v>66268.59</v>
      </c>
      <c r="L55" s="78">
        <v>1726.33</v>
      </c>
      <c r="M55" s="78">
        <v>67994.929999999993</v>
      </c>
      <c r="N55" s="78">
        <v>795223.1</v>
      </c>
      <c r="O55" s="78">
        <v>66268.59</v>
      </c>
      <c r="P55" s="37" t="s">
        <v>262</v>
      </c>
      <c r="Q55" s="80">
        <v>45444</v>
      </c>
      <c r="R55" s="37">
        <v>2024</v>
      </c>
      <c r="S55" s="37">
        <v>6</v>
      </c>
      <c r="T55" s="3"/>
      <c r="U55" s="68" t="b">
        <f t="shared" si="0"/>
        <v>1</v>
      </c>
      <c r="V55" s="68" t="b">
        <f t="shared" si="1"/>
        <v>1</v>
      </c>
      <c r="W55" s="68" t="b">
        <f t="shared" si="2"/>
        <v>1</v>
      </c>
      <c r="X55" s="68" t="b">
        <f t="shared" si="3"/>
        <v>1</v>
      </c>
      <c r="Y55" s="69" t="str">
        <f t="shared" si="4"/>
        <v>✅ PASS</v>
      </c>
    </row>
    <row r="56" spans="1:25" ht="15" customHeight="1" x14ac:dyDescent="0.25">
      <c r="A56" s="70"/>
      <c r="B56" s="33" t="s">
        <v>128</v>
      </c>
      <c r="C56" s="33" t="s">
        <v>61</v>
      </c>
      <c r="D56" s="33" t="s">
        <v>65</v>
      </c>
      <c r="E56" s="33" t="s">
        <v>81</v>
      </c>
      <c r="F56" s="33" t="s">
        <v>66</v>
      </c>
      <c r="G56" s="71">
        <v>205</v>
      </c>
      <c r="H56" s="72">
        <v>1034.77</v>
      </c>
      <c r="I56" s="72">
        <v>212128.17</v>
      </c>
      <c r="J56" s="73">
        <v>9.1399999999999995E-2</v>
      </c>
      <c r="K56" s="72">
        <v>192731.19</v>
      </c>
      <c r="L56" s="72">
        <v>18719.419999999998</v>
      </c>
      <c r="M56" s="72">
        <v>211450.61</v>
      </c>
      <c r="N56" s="72">
        <v>2312774.31</v>
      </c>
      <c r="O56" s="72">
        <v>192731.19</v>
      </c>
      <c r="P56" s="33" t="s">
        <v>262</v>
      </c>
      <c r="Q56" s="74">
        <v>45474</v>
      </c>
      <c r="R56" s="33">
        <v>2024</v>
      </c>
      <c r="S56" s="33">
        <v>7</v>
      </c>
      <c r="T56" s="3"/>
      <c r="U56" s="67" t="b">
        <f t="shared" si="0"/>
        <v>1</v>
      </c>
      <c r="V56" s="67" t="b">
        <f t="shared" si="1"/>
        <v>1</v>
      </c>
      <c r="W56" s="67" t="b">
        <f t="shared" si="2"/>
        <v>1</v>
      </c>
      <c r="X56" s="67" t="b">
        <f t="shared" si="3"/>
        <v>1</v>
      </c>
      <c r="Y56" s="75" t="str">
        <f t="shared" si="4"/>
        <v>✅ PASS</v>
      </c>
    </row>
    <row r="57" spans="1:25" ht="15" customHeight="1" x14ac:dyDescent="0.25">
      <c r="A57" s="76"/>
      <c r="B57" s="37" t="s">
        <v>128</v>
      </c>
      <c r="C57" s="37" t="s">
        <v>61</v>
      </c>
      <c r="D57" s="37" t="s">
        <v>62</v>
      </c>
      <c r="E57" s="37" t="s">
        <v>81</v>
      </c>
      <c r="F57" s="37" t="s">
        <v>66</v>
      </c>
      <c r="G57" s="77">
        <v>186</v>
      </c>
      <c r="H57" s="78">
        <v>257.97000000000003</v>
      </c>
      <c r="I57" s="78">
        <v>47982.79</v>
      </c>
      <c r="J57" s="79">
        <v>7.7999999999999996E-3</v>
      </c>
      <c r="K57" s="78">
        <v>47606.79</v>
      </c>
      <c r="L57" s="78">
        <v>-1188.54</v>
      </c>
      <c r="M57" s="78">
        <v>46418.25</v>
      </c>
      <c r="N57" s="78">
        <v>571281.44999999995</v>
      </c>
      <c r="O57" s="78">
        <v>47606.79</v>
      </c>
      <c r="P57" s="37" t="s">
        <v>262</v>
      </c>
      <c r="Q57" s="80">
        <v>45474</v>
      </c>
      <c r="R57" s="37">
        <v>2024</v>
      </c>
      <c r="S57" s="37">
        <v>7</v>
      </c>
      <c r="T57" s="3"/>
      <c r="U57" s="68" t="b">
        <f t="shared" si="0"/>
        <v>1</v>
      </c>
      <c r="V57" s="68" t="b">
        <f t="shared" si="1"/>
        <v>1</v>
      </c>
      <c r="W57" s="68" t="b">
        <f t="shared" si="2"/>
        <v>1</v>
      </c>
      <c r="X57" s="68" t="b">
        <f t="shared" si="3"/>
        <v>1</v>
      </c>
      <c r="Y57" s="69" t="str">
        <f t="shared" si="4"/>
        <v>✅ PASS</v>
      </c>
    </row>
    <row r="58" spans="1:25" ht="15" customHeight="1" x14ac:dyDescent="0.25">
      <c r="A58" s="70"/>
      <c r="B58" s="33" t="s">
        <v>128</v>
      </c>
      <c r="C58" s="33" t="s">
        <v>61</v>
      </c>
      <c r="D58" s="33" t="s">
        <v>68</v>
      </c>
      <c r="E58" s="33" t="s">
        <v>75</v>
      </c>
      <c r="F58" s="33" t="s">
        <v>69</v>
      </c>
      <c r="G58" s="71">
        <v>295</v>
      </c>
      <c r="H58" s="72">
        <v>716.58</v>
      </c>
      <c r="I58" s="72">
        <v>211392.35</v>
      </c>
      <c r="J58" s="73">
        <v>6.8400000000000002E-2</v>
      </c>
      <c r="K58" s="72">
        <v>196933.05</v>
      </c>
      <c r="L58" s="72">
        <v>-7591.21</v>
      </c>
      <c r="M58" s="72">
        <v>189341.84</v>
      </c>
      <c r="N58" s="72">
        <v>2363196.59</v>
      </c>
      <c r="O58" s="72">
        <v>196933.05</v>
      </c>
      <c r="P58" s="33" t="s">
        <v>262</v>
      </c>
      <c r="Q58" s="74">
        <v>45474</v>
      </c>
      <c r="R58" s="33">
        <v>2024</v>
      </c>
      <c r="S58" s="33">
        <v>7</v>
      </c>
      <c r="T58" s="3"/>
      <c r="U58" s="67" t="b">
        <f t="shared" si="0"/>
        <v>1</v>
      </c>
      <c r="V58" s="67" t="b">
        <f t="shared" si="1"/>
        <v>1</v>
      </c>
      <c r="W58" s="67" t="b">
        <f t="shared" si="2"/>
        <v>1</v>
      </c>
      <c r="X58" s="67" t="b">
        <f t="shared" si="3"/>
        <v>1</v>
      </c>
      <c r="Y58" s="75" t="str">
        <f t="shared" si="4"/>
        <v>✅ PASS</v>
      </c>
    </row>
    <row r="59" spans="1:25" ht="15" customHeight="1" x14ac:dyDescent="0.25">
      <c r="A59" s="76"/>
      <c r="B59" s="37" t="s">
        <v>128</v>
      </c>
      <c r="C59" s="37" t="s">
        <v>67</v>
      </c>
      <c r="D59" s="37" t="s">
        <v>65</v>
      </c>
      <c r="E59" s="37" t="s">
        <v>81</v>
      </c>
      <c r="F59" s="37" t="s">
        <v>63</v>
      </c>
      <c r="G59" s="77">
        <v>199</v>
      </c>
      <c r="H59" s="78">
        <v>704.25</v>
      </c>
      <c r="I59" s="78">
        <v>140146.43</v>
      </c>
      <c r="J59" s="79">
        <v>8.8999999999999996E-2</v>
      </c>
      <c r="K59" s="78">
        <v>127675.22</v>
      </c>
      <c r="L59" s="78">
        <v>2920.66</v>
      </c>
      <c r="M59" s="78">
        <v>130595.88</v>
      </c>
      <c r="N59" s="78">
        <v>1532102.65</v>
      </c>
      <c r="O59" s="78">
        <v>127675.22</v>
      </c>
      <c r="P59" s="37" t="s">
        <v>262</v>
      </c>
      <c r="Q59" s="80">
        <v>45474</v>
      </c>
      <c r="R59" s="37">
        <v>2024</v>
      </c>
      <c r="S59" s="37">
        <v>7</v>
      </c>
      <c r="T59" s="3"/>
      <c r="U59" s="68" t="b">
        <f t="shared" si="0"/>
        <v>1</v>
      </c>
      <c r="V59" s="68" t="b">
        <f t="shared" si="1"/>
        <v>1</v>
      </c>
      <c r="W59" s="68" t="b">
        <f t="shared" si="2"/>
        <v>1</v>
      </c>
      <c r="X59" s="68" t="b">
        <f t="shared" si="3"/>
        <v>1</v>
      </c>
      <c r="Y59" s="69" t="str">
        <f t="shared" si="4"/>
        <v>✅ PASS</v>
      </c>
    </row>
    <row r="60" spans="1:25" ht="15" customHeight="1" x14ac:dyDescent="0.25">
      <c r="A60" s="70"/>
      <c r="B60" s="33" t="s">
        <v>128</v>
      </c>
      <c r="C60" s="33" t="s">
        <v>67</v>
      </c>
      <c r="D60" s="33" t="s">
        <v>62</v>
      </c>
      <c r="E60" s="33" t="s">
        <v>75</v>
      </c>
      <c r="F60" s="33" t="s">
        <v>63</v>
      </c>
      <c r="G60" s="71">
        <v>83</v>
      </c>
      <c r="H60" s="72">
        <v>1180.23</v>
      </c>
      <c r="I60" s="72">
        <v>97958.91</v>
      </c>
      <c r="J60" s="81">
        <v>0.20880000000000001</v>
      </c>
      <c r="K60" s="72">
        <v>77501.02</v>
      </c>
      <c r="L60" s="72">
        <v>3955.1</v>
      </c>
      <c r="M60" s="72">
        <v>81456.12</v>
      </c>
      <c r="N60" s="72">
        <v>930012.29</v>
      </c>
      <c r="O60" s="72">
        <v>77501.02</v>
      </c>
      <c r="P60" s="33" t="s">
        <v>262</v>
      </c>
      <c r="Q60" s="74">
        <v>45474</v>
      </c>
      <c r="R60" s="33">
        <v>2024</v>
      </c>
      <c r="S60" s="33">
        <v>7</v>
      </c>
      <c r="T60" s="3"/>
      <c r="U60" s="67" t="b">
        <f t="shared" si="0"/>
        <v>1</v>
      </c>
      <c r="V60" s="67" t="b">
        <f t="shared" si="1"/>
        <v>1</v>
      </c>
      <c r="W60" s="67" t="b">
        <f t="shared" si="2"/>
        <v>1</v>
      </c>
      <c r="X60" s="67" t="b">
        <f t="shared" si="3"/>
        <v>1</v>
      </c>
      <c r="Y60" s="75" t="str">
        <f t="shared" si="4"/>
        <v>✅ PASS</v>
      </c>
    </row>
    <row r="61" spans="1:25" ht="15" customHeight="1" x14ac:dyDescent="0.25">
      <c r="A61" s="76"/>
      <c r="B61" s="37" t="s">
        <v>128</v>
      </c>
      <c r="C61" s="37" t="s">
        <v>67</v>
      </c>
      <c r="D61" s="37" t="s">
        <v>68</v>
      </c>
      <c r="E61" s="37" t="s">
        <v>78</v>
      </c>
      <c r="F61" s="37" t="s">
        <v>66</v>
      </c>
      <c r="G61" s="77">
        <v>114</v>
      </c>
      <c r="H61" s="78">
        <v>987.96</v>
      </c>
      <c r="I61" s="78">
        <v>112627.09</v>
      </c>
      <c r="J61" s="82">
        <v>0.22800000000000001</v>
      </c>
      <c r="K61" s="78">
        <v>86946.17</v>
      </c>
      <c r="L61" s="78">
        <v>-3914.91</v>
      </c>
      <c r="M61" s="78">
        <v>83031.259999999995</v>
      </c>
      <c r="N61" s="78">
        <v>1043354.03</v>
      </c>
      <c r="O61" s="78">
        <v>86946.17</v>
      </c>
      <c r="P61" s="37" t="s">
        <v>262</v>
      </c>
      <c r="Q61" s="80">
        <v>45474</v>
      </c>
      <c r="R61" s="37">
        <v>2024</v>
      </c>
      <c r="S61" s="37">
        <v>7</v>
      </c>
      <c r="T61" s="3"/>
      <c r="U61" s="68" t="b">
        <f t="shared" si="0"/>
        <v>1</v>
      </c>
      <c r="V61" s="68" t="b">
        <f t="shared" si="1"/>
        <v>1</v>
      </c>
      <c r="W61" s="68" t="b">
        <f t="shared" si="2"/>
        <v>1</v>
      </c>
      <c r="X61" s="68" t="b">
        <f t="shared" si="3"/>
        <v>1</v>
      </c>
      <c r="Y61" s="69" t="str">
        <f t="shared" si="4"/>
        <v>✅ PASS</v>
      </c>
    </row>
    <row r="62" spans="1:25" ht="15" customHeight="1" x14ac:dyDescent="0.25">
      <c r="A62" s="70"/>
      <c r="B62" s="33" t="s">
        <v>128</v>
      </c>
      <c r="C62" s="33" t="s">
        <v>64</v>
      </c>
      <c r="D62" s="33" t="s">
        <v>65</v>
      </c>
      <c r="E62" s="33" t="s">
        <v>75</v>
      </c>
      <c r="F62" s="33" t="s">
        <v>66</v>
      </c>
      <c r="G62" s="71">
        <v>150</v>
      </c>
      <c r="H62" s="72">
        <v>957.4</v>
      </c>
      <c r="I62" s="72">
        <v>143610.43</v>
      </c>
      <c r="J62" s="73">
        <v>2.1000000000000001E-2</v>
      </c>
      <c r="K62" s="72">
        <v>140601.07999999999</v>
      </c>
      <c r="L62" s="72">
        <v>11906.73</v>
      </c>
      <c r="M62" s="72">
        <v>152507.81</v>
      </c>
      <c r="N62" s="72">
        <v>1687212.94</v>
      </c>
      <c r="O62" s="72">
        <v>140601.07999999999</v>
      </c>
      <c r="P62" s="33" t="s">
        <v>262</v>
      </c>
      <c r="Q62" s="74">
        <v>45474</v>
      </c>
      <c r="R62" s="33">
        <v>2024</v>
      </c>
      <c r="S62" s="33">
        <v>7</v>
      </c>
      <c r="T62" s="3"/>
      <c r="U62" s="67" t="b">
        <f t="shared" si="0"/>
        <v>1</v>
      </c>
      <c r="V62" s="67" t="b">
        <f t="shared" si="1"/>
        <v>1</v>
      </c>
      <c r="W62" s="67" t="b">
        <f t="shared" si="2"/>
        <v>1</v>
      </c>
      <c r="X62" s="67" t="b">
        <f t="shared" si="3"/>
        <v>1</v>
      </c>
      <c r="Y62" s="75" t="str">
        <f t="shared" si="4"/>
        <v>✅ PASS</v>
      </c>
    </row>
    <row r="63" spans="1:25" ht="15" customHeight="1" x14ac:dyDescent="0.25">
      <c r="A63" s="76"/>
      <c r="B63" s="37" t="s">
        <v>128</v>
      </c>
      <c r="C63" s="37" t="s">
        <v>64</v>
      </c>
      <c r="D63" s="37" t="s">
        <v>62</v>
      </c>
      <c r="E63" s="37" t="s">
        <v>81</v>
      </c>
      <c r="F63" s="37" t="s">
        <v>69</v>
      </c>
      <c r="G63" s="77">
        <v>154</v>
      </c>
      <c r="H63" s="78">
        <v>1187.06</v>
      </c>
      <c r="I63" s="78">
        <v>182807.43</v>
      </c>
      <c r="J63" s="82">
        <v>0.1646</v>
      </c>
      <c r="K63" s="78">
        <v>152719.23000000001</v>
      </c>
      <c r="L63" s="78">
        <v>-9184.0400000000009</v>
      </c>
      <c r="M63" s="78">
        <v>143535.19</v>
      </c>
      <c r="N63" s="78">
        <v>1832630.71</v>
      </c>
      <c r="O63" s="78">
        <v>152719.23000000001</v>
      </c>
      <c r="P63" s="37" t="s">
        <v>262</v>
      </c>
      <c r="Q63" s="80">
        <v>45474</v>
      </c>
      <c r="R63" s="37">
        <v>2024</v>
      </c>
      <c r="S63" s="37">
        <v>7</v>
      </c>
      <c r="T63" s="3"/>
      <c r="U63" s="68" t="b">
        <f t="shared" si="0"/>
        <v>1</v>
      </c>
      <c r="V63" s="68" t="b">
        <f t="shared" si="1"/>
        <v>1</v>
      </c>
      <c r="W63" s="68" t="b">
        <f t="shared" si="2"/>
        <v>1</v>
      </c>
      <c r="X63" s="68" t="b">
        <f t="shared" si="3"/>
        <v>1</v>
      </c>
      <c r="Y63" s="69" t="str">
        <f t="shared" si="4"/>
        <v>✅ PASS</v>
      </c>
    </row>
    <row r="64" spans="1:25" ht="15" customHeight="1" x14ac:dyDescent="0.25">
      <c r="A64" s="70"/>
      <c r="B64" s="33" t="s">
        <v>128</v>
      </c>
      <c r="C64" s="33" t="s">
        <v>64</v>
      </c>
      <c r="D64" s="33" t="s">
        <v>68</v>
      </c>
      <c r="E64" s="33" t="s">
        <v>78</v>
      </c>
      <c r="F64" s="33" t="s">
        <v>63</v>
      </c>
      <c r="G64" s="71">
        <v>224</v>
      </c>
      <c r="H64" s="72">
        <v>996.03</v>
      </c>
      <c r="I64" s="72">
        <v>223111.02</v>
      </c>
      <c r="J64" s="81">
        <v>0.1227</v>
      </c>
      <c r="K64" s="72">
        <v>195742.96</v>
      </c>
      <c r="L64" s="72">
        <v>-16272.74</v>
      </c>
      <c r="M64" s="72">
        <v>179470.22</v>
      </c>
      <c r="N64" s="72">
        <v>2348915.56</v>
      </c>
      <c r="O64" s="72">
        <v>195742.96</v>
      </c>
      <c r="P64" s="33" t="s">
        <v>262</v>
      </c>
      <c r="Q64" s="74">
        <v>45474</v>
      </c>
      <c r="R64" s="33">
        <v>2024</v>
      </c>
      <c r="S64" s="33">
        <v>7</v>
      </c>
      <c r="T64" s="3"/>
      <c r="U64" s="67" t="b">
        <f t="shared" si="0"/>
        <v>1</v>
      </c>
      <c r="V64" s="67" t="b">
        <f t="shared" si="1"/>
        <v>1</v>
      </c>
      <c r="W64" s="67" t="b">
        <f t="shared" si="2"/>
        <v>1</v>
      </c>
      <c r="X64" s="67" t="b">
        <f t="shared" si="3"/>
        <v>1</v>
      </c>
      <c r="Y64" s="75" t="str">
        <f t="shared" si="4"/>
        <v>✅ PASS</v>
      </c>
    </row>
    <row r="65" spans="1:25" ht="15" customHeight="1" x14ac:dyDescent="0.25">
      <c r="A65" s="76"/>
      <c r="B65" s="37" t="s">
        <v>129</v>
      </c>
      <c r="C65" s="37" t="s">
        <v>61</v>
      </c>
      <c r="D65" s="37" t="s">
        <v>65</v>
      </c>
      <c r="E65" s="37" t="s">
        <v>81</v>
      </c>
      <c r="F65" s="37" t="s">
        <v>66</v>
      </c>
      <c r="G65" s="77">
        <v>191</v>
      </c>
      <c r="H65" s="78">
        <v>549.02</v>
      </c>
      <c r="I65" s="78">
        <v>104862.16</v>
      </c>
      <c r="J65" s="79">
        <v>0.10970000000000001</v>
      </c>
      <c r="K65" s="78">
        <v>93354.15</v>
      </c>
      <c r="L65" s="78">
        <v>-2824.05</v>
      </c>
      <c r="M65" s="78">
        <v>90530.1</v>
      </c>
      <c r="N65" s="78">
        <v>1120249.77</v>
      </c>
      <c r="O65" s="78">
        <v>93354.15</v>
      </c>
      <c r="P65" s="37" t="s">
        <v>262</v>
      </c>
      <c r="Q65" s="80">
        <v>45505</v>
      </c>
      <c r="R65" s="37">
        <v>2024</v>
      </c>
      <c r="S65" s="37">
        <v>8</v>
      </c>
      <c r="T65" s="3"/>
      <c r="U65" s="68" t="b">
        <f t="shared" si="0"/>
        <v>1</v>
      </c>
      <c r="V65" s="68" t="b">
        <f t="shared" si="1"/>
        <v>1</v>
      </c>
      <c r="W65" s="68" t="b">
        <f t="shared" si="2"/>
        <v>1</v>
      </c>
      <c r="X65" s="68" t="b">
        <f t="shared" si="3"/>
        <v>1</v>
      </c>
      <c r="Y65" s="69" t="str">
        <f t="shared" si="4"/>
        <v>✅ PASS</v>
      </c>
    </row>
    <row r="66" spans="1:25" ht="15" customHeight="1" x14ac:dyDescent="0.25">
      <c r="A66" s="70"/>
      <c r="B66" s="33" t="s">
        <v>129</v>
      </c>
      <c r="C66" s="33" t="s">
        <v>61</v>
      </c>
      <c r="D66" s="33" t="s">
        <v>62</v>
      </c>
      <c r="E66" s="33" t="s">
        <v>75</v>
      </c>
      <c r="F66" s="33" t="s">
        <v>69</v>
      </c>
      <c r="G66" s="71">
        <v>55</v>
      </c>
      <c r="H66" s="72">
        <v>552.63</v>
      </c>
      <c r="I66" s="72">
        <v>30394.78</v>
      </c>
      <c r="J66" s="73">
        <v>7.1300000000000002E-2</v>
      </c>
      <c r="K66" s="72">
        <v>28228.23</v>
      </c>
      <c r="L66" s="72">
        <v>-2116.7199999999998</v>
      </c>
      <c r="M66" s="72">
        <v>26111.51</v>
      </c>
      <c r="N66" s="72">
        <v>338738.73</v>
      </c>
      <c r="O66" s="72">
        <v>28228.23</v>
      </c>
      <c r="P66" s="33" t="s">
        <v>262</v>
      </c>
      <c r="Q66" s="74">
        <v>45505</v>
      </c>
      <c r="R66" s="33">
        <v>2024</v>
      </c>
      <c r="S66" s="33">
        <v>8</v>
      </c>
      <c r="T66" s="3"/>
      <c r="U66" s="67" t="b">
        <f t="shared" ref="U66:U129" si="5">IF(I66=0,"N/A",ABS(I66*(1-J66)-K66)/I66&lt;0.001)</f>
        <v>1</v>
      </c>
      <c r="V66" s="67" t="b">
        <f t="shared" ref="V66:V129" si="6">ABS(N66-O66*12)&lt;=1</f>
        <v>1</v>
      </c>
      <c r="W66" s="67" t="b">
        <f t="shared" ref="W66:W129" si="7">ABS(K66+L66-M66)&lt;=1</f>
        <v>1</v>
      </c>
      <c r="X66" s="67" t="b">
        <f t="shared" ref="X66:X129" si="8">AND(B66&lt;&gt;"",C66&lt;&gt;"",K66&lt;&gt;0,N66&lt;&gt;0)</f>
        <v>1</v>
      </c>
      <c r="Y66" s="75" t="str">
        <f t="shared" ref="Y66:Y129" si="9">IF(AND(OR(U66=TRUE(),U66="N/A"),V66=TRUE(),W66=TRUE(),X66=TRUE()),"✅ PASS","❌ FAIL")</f>
        <v>✅ PASS</v>
      </c>
    </row>
    <row r="67" spans="1:25" ht="15" customHeight="1" x14ac:dyDescent="0.25">
      <c r="A67" s="76"/>
      <c r="B67" s="37" t="s">
        <v>129</v>
      </c>
      <c r="C67" s="37" t="s">
        <v>61</v>
      </c>
      <c r="D67" s="37" t="s">
        <v>68</v>
      </c>
      <c r="E67" s="37" t="s">
        <v>81</v>
      </c>
      <c r="F67" s="37" t="s">
        <v>69</v>
      </c>
      <c r="G67" s="77">
        <v>198</v>
      </c>
      <c r="H67" s="78">
        <v>298.42</v>
      </c>
      <c r="I67" s="78">
        <v>59086.38</v>
      </c>
      <c r="J67" s="82">
        <v>0.1671</v>
      </c>
      <c r="K67" s="78">
        <v>49212.51</v>
      </c>
      <c r="L67" s="78">
        <v>1170.6300000000001</v>
      </c>
      <c r="M67" s="78">
        <v>50383.14</v>
      </c>
      <c r="N67" s="78">
        <v>590550.06000000006</v>
      </c>
      <c r="O67" s="78">
        <v>49212.51</v>
      </c>
      <c r="P67" s="37" t="s">
        <v>262</v>
      </c>
      <c r="Q67" s="80">
        <v>45505</v>
      </c>
      <c r="R67" s="37">
        <v>2024</v>
      </c>
      <c r="S67" s="37">
        <v>8</v>
      </c>
      <c r="T67" s="3"/>
      <c r="U67" s="68" t="b">
        <f t="shared" si="5"/>
        <v>1</v>
      </c>
      <c r="V67" s="68" t="b">
        <f t="shared" si="6"/>
        <v>1</v>
      </c>
      <c r="W67" s="68" t="b">
        <f t="shared" si="7"/>
        <v>1</v>
      </c>
      <c r="X67" s="68" t="b">
        <f t="shared" si="8"/>
        <v>1</v>
      </c>
      <c r="Y67" s="69" t="str">
        <f t="shared" si="9"/>
        <v>✅ PASS</v>
      </c>
    </row>
    <row r="68" spans="1:25" ht="15" customHeight="1" x14ac:dyDescent="0.25">
      <c r="A68" s="70"/>
      <c r="B68" s="33" t="s">
        <v>129</v>
      </c>
      <c r="C68" s="33" t="s">
        <v>67</v>
      </c>
      <c r="D68" s="33" t="s">
        <v>65</v>
      </c>
      <c r="E68" s="33" t="s">
        <v>81</v>
      </c>
      <c r="F68" s="33" t="s">
        <v>66</v>
      </c>
      <c r="G68" s="71">
        <v>105</v>
      </c>
      <c r="H68" s="72">
        <v>643.75</v>
      </c>
      <c r="I68" s="72">
        <v>67593.289999999994</v>
      </c>
      <c r="J68" s="81">
        <v>0.19339999999999999</v>
      </c>
      <c r="K68" s="72">
        <v>54519.85</v>
      </c>
      <c r="L68" s="72">
        <v>-4223.3</v>
      </c>
      <c r="M68" s="72">
        <v>50296.55</v>
      </c>
      <c r="N68" s="72">
        <v>654238.17000000004</v>
      </c>
      <c r="O68" s="72">
        <v>54519.85</v>
      </c>
      <c r="P68" s="33" t="s">
        <v>262</v>
      </c>
      <c r="Q68" s="74">
        <v>45505</v>
      </c>
      <c r="R68" s="33">
        <v>2024</v>
      </c>
      <c r="S68" s="33">
        <v>8</v>
      </c>
      <c r="T68" s="3"/>
      <c r="U68" s="67" t="b">
        <f t="shared" si="5"/>
        <v>1</v>
      </c>
      <c r="V68" s="67" t="b">
        <f t="shared" si="6"/>
        <v>1</v>
      </c>
      <c r="W68" s="67" t="b">
        <f t="shared" si="7"/>
        <v>1</v>
      </c>
      <c r="X68" s="67" t="b">
        <f t="shared" si="8"/>
        <v>1</v>
      </c>
      <c r="Y68" s="75" t="str">
        <f t="shared" si="9"/>
        <v>✅ PASS</v>
      </c>
    </row>
    <row r="69" spans="1:25" ht="15" customHeight="1" x14ac:dyDescent="0.25">
      <c r="A69" s="76"/>
      <c r="B69" s="37" t="s">
        <v>129</v>
      </c>
      <c r="C69" s="37" t="s">
        <v>67</v>
      </c>
      <c r="D69" s="37" t="s">
        <v>62</v>
      </c>
      <c r="E69" s="37" t="s">
        <v>78</v>
      </c>
      <c r="F69" s="37" t="s">
        <v>69</v>
      </c>
      <c r="G69" s="77">
        <v>71</v>
      </c>
      <c r="H69" s="78">
        <v>353.88</v>
      </c>
      <c r="I69" s="78">
        <v>25125.52</v>
      </c>
      <c r="J69" s="79">
        <v>5.4600000000000003E-2</v>
      </c>
      <c r="K69" s="78">
        <v>23753.8</v>
      </c>
      <c r="L69" s="78">
        <v>2481.88</v>
      </c>
      <c r="M69" s="78">
        <v>26235.68</v>
      </c>
      <c r="N69" s="78">
        <v>285045.59999999998</v>
      </c>
      <c r="O69" s="78">
        <v>23753.8</v>
      </c>
      <c r="P69" s="37" t="s">
        <v>262</v>
      </c>
      <c r="Q69" s="80">
        <v>45505</v>
      </c>
      <c r="R69" s="37">
        <v>2024</v>
      </c>
      <c r="S69" s="37">
        <v>8</v>
      </c>
      <c r="T69" s="3"/>
      <c r="U69" s="68" t="b">
        <f t="shared" si="5"/>
        <v>1</v>
      </c>
      <c r="V69" s="68" t="b">
        <f t="shared" si="6"/>
        <v>1</v>
      </c>
      <c r="W69" s="68" t="b">
        <f t="shared" si="7"/>
        <v>1</v>
      </c>
      <c r="X69" s="68" t="b">
        <f t="shared" si="8"/>
        <v>1</v>
      </c>
      <c r="Y69" s="69" t="str">
        <f t="shared" si="9"/>
        <v>✅ PASS</v>
      </c>
    </row>
    <row r="70" spans="1:25" ht="15" customHeight="1" x14ac:dyDescent="0.25">
      <c r="A70" s="70"/>
      <c r="B70" s="33" t="s">
        <v>129</v>
      </c>
      <c r="C70" s="33" t="s">
        <v>67</v>
      </c>
      <c r="D70" s="33" t="s">
        <v>68</v>
      </c>
      <c r="E70" s="33" t="s">
        <v>81</v>
      </c>
      <c r="F70" s="33" t="s">
        <v>63</v>
      </c>
      <c r="G70" s="71">
        <v>180</v>
      </c>
      <c r="H70" s="72">
        <v>315</v>
      </c>
      <c r="I70" s="72">
        <v>56699.61</v>
      </c>
      <c r="J70" s="81">
        <v>0.1671</v>
      </c>
      <c r="K70" s="72">
        <v>47225.82</v>
      </c>
      <c r="L70" s="72">
        <v>5343.71</v>
      </c>
      <c r="M70" s="72">
        <v>52569.52</v>
      </c>
      <c r="N70" s="72">
        <v>566709.79</v>
      </c>
      <c r="O70" s="72">
        <v>47225.82</v>
      </c>
      <c r="P70" s="33" t="s">
        <v>262</v>
      </c>
      <c r="Q70" s="74">
        <v>45505</v>
      </c>
      <c r="R70" s="33">
        <v>2024</v>
      </c>
      <c r="S70" s="33">
        <v>8</v>
      </c>
      <c r="T70" s="3"/>
      <c r="U70" s="67" t="b">
        <f t="shared" si="5"/>
        <v>1</v>
      </c>
      <c r="V70" s="67" t="b">
        <f t="shared" si="6"/>
        <v>1</v>
      </c>
      <c r="W70" s="67" t="b">
        <f t="shared" si="7"/>
        <v>1</v>
      </c>
      <c r="X70" s="67" t="b">
        <f t="shared" si="8"/>
        <v>1</v>
      </c>
      <c r="Y70" s="75" t="str">
        <f t="shared" si="9"/>
        <v>✅ PASS</v>
      </c>
    </row>
    <row r="71" spans="1:25" ht="15" customHeight="1" x14ac:dyDescent="0.25">
      <c r="A71" s="76"/>
      <c r="B71" s="37" t="s">
        <v>129</v>
      </c>
      <c r="C71" s="37" t="s">
        <v>64</v>
      </c>
      <c r="D71" s="37" t="s">
        <v>65</v>
      </c>
      <c r="E71" s="37" t="s">
        <v>75</v>
      </c>
      <c r="F71" s="37" t="s">
        <v>63</v>
      </c>
      <c r="G71" s="77">
        <v>125</v>
      </c>
      <c r="H71" s="78">
        <v>616</v>
      </c>
      <c r="I71" s="78">
        <v>76999.61</v>
      </c>
      <c r="J71" s="79">
        <v>3.4500000000000003E-2</v>
      </c>
      <c r="K71" s="78">
        <v>74342.62</v>
      </c>
      <c r="L71" s="78">
        <v>-3000.41</v>
      </c>
      <c r="M71" s="78">
        <v>71342.22</v>
      </c>
      <c r="N71" s="78">
        <v>892111.46</v>
      </c>
      <c r="O71" s="78">
        <v>74342.62</v>
      </c>
      <c r="P71" s="37" t="s">
        <v>262</v>
      </c>
      <c r="Q71" s="80">
        <v>45505</v>
      </c>
      <c r="R71" s="37">
        <v>2024</v>
      </c>
      <c r="S71" s="37">
        <v>8</v>
      </c>
      <c r="T71" s="3"/>
      <c r="U71" s="68" t="b">
        <f t="shared" si="5"/>
        <v>1</v>
      </c>
      <c r="V71" s="68" t="b">
        <f t="shared" si="6"/>
        <v>1</v>
      </c>
      <c r="W71" s="68" t="b">
        <f t="shared" si="7"/>
        <v>1</v>
      </c>
      <c r="X71" s="68" t="b">
        <f t="shared" si="8"/>
        <v>1</v>
      </c>
      <c r="Y71" s="69" t="str">
        <f t="shared" si="9"/>
        <v>✅ PASS</v>
      </c>
    </row>
    <row r="72" spans="1:25" ht="15" customHeight="1" x14ac:dyDescent="0.25">
      <c r="A72" s="70"/>
      <c r="B72" s="33" t="s">
        <v>129</v>
      </c>
      <c r="C72" s="33" t="s">
        <v>64</v>
      </c>
      <c r="D72" s="33" t="s">
        <v>62</v>
      </c>
      <c r="E72" s="33" t="s">
        <v>81</v>
      </c>
      <c r="F72" s="33" t="s">
        <v>66</v>
      </c>
      <c r="G72" s="71">
        <v>168</v>
      </c>
      <c r="H72" s="72">
        <v>964.85</v>
      </c>
      <c r="I72" s="72">
        <v>162095.03</v>
      </c>
      <c r="J72" s="81">
        <v>0.1661</v>
      </c>
      <c r="K72" s="72">
        <v>135178.87</v>
      </c>
      <c r="L72" s="72">
        <v>12888.71</v>
      </c>
      <c r="M72" s="72">
        <v>148067.57999999999</v>
      </c>
      <c r="N72" s="72">
        <v>1622146.45</v>
      </c>
      <c r="O72" s="72">
        <v>135178.87</v>
      </c>
      <c r="P72" s="33" t="s">
        <v>262</v>
      </c>
      <c r="Q72" s="74">
        <v>45505</v>
      </c>
      <c r="R72" s="33">
        <v>2024</v>
      </c>
      <c r="S72" s="33">
        <v>8</v>
      </c>
      <c r="T72" s="3"/>
      <c r="U72" s="67" t="b">
        <f t="shared" si="5"/>
        <v>1</v>
      </c>
      <c r="V72" s="67" t="b">
        <f t="shared" si="6"/>
        <v>1</v>
      </c>
      <c r="W72" s="67" t="b">
        <f t="shared" si="7"/>
        <v>1</v>
      </c>
      <c r="X72" s="67" t="b">
        <f t="shared" si="8"/>
        <v>1</v>
      </c>
      <c r="Y72" s="75" t="str">
        <f t="shared" si="9"/>
        <v>✅ PASS</v>
      </c>
    </row>
    <row r="73" spans="1:25" ht="15" customHeight="1" x14ac:dyDescent="0.25">
      <c r="A73" s="76"/>
      <c r="B73" s="37" t="s">
        <v>129</v>
      </c>
      <c r="C73" s="37" t="s">
        <v>64</v>
      </c>
      <c r="D73" s="37" t="s">
        <v>68</v>
      </c>
      <c r="E73" s="37" t="s">
        <v>75</v>
      </c>
      <c r="F73" s="37" t="s">
        <v>63</v>
      </c>
      <c r="G73" s="77">
        <v>251</v>
      </c>
      <c r="H73" s="78">
        <v>622.01</v>
      </c>
      <c r="I73" s="78">
        <v>156125.48000000001</v>
      </c>
      <c r="J73" s="82">
        <v>0.15590000000000001</v>
      </c>
      <c r="K73" s="78">
        <v>131785.79</v>
      </c>
      <c r="L73" s="78">
        <v>-5654.43</v>
      </c>
      <c r="M73" s="78">
        <v>126131.36</v>
      </c>
      <c r="N73" s="78">
        <v>1581429.43</v>
      </c>
      <c r="O73" s="78">
        <v>131785.79</v>
      </c>
      <c r="P73" s="37" t="s">
        <v>262</v>
      </c>
      <c r="Q73" s="80">
        <v>45505</v>
      </c>
      <c r="R73" s="37">
        <v>2024</v>
      </c>
      <c r="S73" s="37">
        <v>8</v>
      </c>
      <c r="T73" s="3"/>
      <c r="U73" s="68" t="b">
        <f t="shared" si="5"/>
        <v>1</v>
      </c>
      <c r="V73" s="68" t="b">
        <f t="shared" si="6"/>
        <v>1</v>
      </c>
      <c r="W73" s="68" t="b">
        <f t="shared" si="7"/>
        <v>1</v>
      </c>
      <c r="X73" s="68" t="b">
        <f t="shared" si="8"/>
        <v>1</v>
      </c>
      <c r="Y73" s="69" t="str">
        <f t="shared" si="9"/>
        <v>✅ PASS</v>
      </c>
    </row>
    <row r="74" spans="1:25" ht="15" customHeight="1" x14ac:dyDescent="0.25">
      <c r="A74" s="70"/>
      <c r="B74" s="33" t="s">
        <v>130</v>
      </c>
      <c r="C74" s="33" t="s">
        <v>61</v>
      </c>
      <c r="D74" s="33" t="s">
        <v>65</v>
      </c>
      <c r="E74" s="33" t="s">
        <v>78</v>
      </c>
      <c r="F74" s="33" t="s">
        <v>69</v>
      </c>
      <c r="G74" s="71">
        <v>246</v>
      </c>
      <c r="H74" s="72">
        <v>901.22</v>
      </c>
      <c r="I74" s="72">
        <v>221700.79</v>
      </c>
      <c r="J74" s="81">
        <v>0.1973</v>
      </c>
      <c r="K74" s="72">
        <v>177954.1</v>
      </c>
      <c r="L74" s="72">
        <v>5696.67</v>
      </c>
      <c r="M74" s="72">
        <v>183650.77</v>
      </c>
      <c r="N74" s="72">
        <v>2135449.17</v>
      </c>
      <c r="O74" s="72">
        <v>177954.1</v>
      </c>
      <c r="P74" s="33" t="s">
        <v>262</v>
      </c>
      <c r="Q74" s="74">
        <v>45536</v>
      </c>
      <c r="R74" s="33">
        <v>2024</v>
      </c>
      <c r="S74" s="33">
        <v>9</v>
      </c>
      <c r="T74" s="3"/>
      <c r="U74" s="67" t="b">
        <f t="shared" si="5"/>
        <v>1</v>
      </c>
      <c r="V74" s="67" t="b">
        <f t="shared" si="6"/>
        <v>1</v>
      </c>
      <c r="W74" s="67" t="b">
        <f t="shared" si="7"/>
        <v>1</v>
      </c>
      <c r="X74" s="67" t="b">
        <f t="shared" si="8"/>
        <v>1</v>
      </c>
      <c r="Y74" s="75" t="str">
        <f t="shared" si="9"/>
        <v>✅ PASS</v>
      </c>
    </row>
    <row r="75" spans="1:25" ht="15" customHeight="1" x14ac:dyDescent="0.25">
      <c r="A75" s="76"/>
      <c r="B75" s="37" t="s">
        <v>130</v>
      </c>
      <c r="C75" s="37" t="s">
        <v>61</v>
      </c>
      <c r="D75" s="37" t="s">
        <v>62</v>
      </c>
      <c r="E75" s="37" t="s">
        <v>75</v>
      </c>
      <c r="F75" s="37" t="s">
        <v>69</v>
      </c>
      <c r="G75" s="77">
        <v>293</v>
      </c>
      <c r="H75" s="78">
        <v>1146.54</v>
      </c>
      <c r="I75" s="78">
        <v>335937.07</v>
      </c>
      <c r="J75" s="82">
        <v>0.21149999999999999</v>
      </c>
      <c r="K75" s="78">
        <v>264875.77</v>
      </c>
      <c r="L75" s="78">
        <v>17996.810000000001</v>
      </c>
      <c r="M75" s="78">
        <v>282872.58</v>
      </c>
      <c r="N75" s="78">
        <v>3178509.25</v>
      </c>
      <c r="O75" s="78">
        <v>264875.77</v>
      </c>
      <c r="P75" s="37" t="s">
        <v>262</v>
      </c>
      <c r="Q75" s="80">
        <v>45536</v>
      </c>
      <c r="R75" s="37">
        <v>2024</v>
      </c>
      <c r="S75" s="37">
        <v>9</v>
      </c>
      <c r="T75" s="3"/>
      <c r="U75" s="68" t="b">
        <f t="shared" si="5"/>
        <v>1</v>
      </c>
      <c r="V75" s="68" t="b">
        <f t="shared" si="6"/>
        <v>1</v>
      </c>
      <c r="W75" s="68" t="b">
        <f t="shared" si="7"/>
        <v>1</v>
      </c>
      <c r="X75" s="68" t="b">
        <f t="shared" si="8"/>
        <v>1</v>
      </c>
      <c r="Y75" s="69" t="str">
        <f t="shared" si="9"/>
        <v>✅ PASS</v>
      </c>
    </row>
    <row r="76" spans="1:25" ht="15" customHeight="1" x14ac:dyDescent="0.25">
      <c r="A76" s="70"/>
      <c r="B76" s="33" t="s">
        <v>130</v>
      </c>
      <c r="C76" s="33" t="s">
        <v>61</v>
      </c>
      <c r="D76" s="33" t="s">
        <v>68</v>
      </c>
      <c r="E76" s="33" t="s">
        <v>81</v>
      </c>
      <c r="F76" s="33" t="s">
        <v>69</v>
      </c>
      <c r="G76" s="71">
        <v>276</v>
      </c>
      <c r="H76" s="72">
        <v>956.39</v>
      </c>
      <c r="I76" s="72">
        <v>263964.09000000003</v>
      </c>
      <c r="J76" s="81">
        <v>0.21690000000000001</v>
      </c>
      <c r="K76" s="72">
        <v>206709.81</v>
      </c>
      <c r="L76" s="72">
        <v>-5660.85</v>
      </c>
      <c r="M76" s="72">
        <v>201048.95999999999</v>
      </c>
      <c r="N76" s="72">
        <v>2480517.7200000002</v>
      </c>
      <c r="O76" s="72">
        <v>206709.81</v>
      </c>
      <c r="P76" s="33" t="s">
        <v>262</v>
      </c>
      <c r="Q76" s="74">
        <v>45536</v>
      </c>
      <c r="R76" s="33">
        <v>2024</v>
      </c>
      <c r="S76" s="33">
        <v>9</v>
      </c>
      <c r="T76" s="3"/>
      <c r="U76" s="67" t="b">
        <f t="shared" si="5"/>
        <v>1</v>
      </c>
      <c r="V76" s="67" t="b">
        <f t="shared" si="6"/>
        <v>1</v>
      </c>
      <c r="W76" s="67" t="b">
        <f t="shared" si="7"/>
        <v>1</v>
      </c>
      <c r="X76" s="67" t="b">
        <f t="shared" si="8"/>
        <v>1</v>
      </c>
      <c r="Y76" s="75" t="str">
        <f t="shared" si="9"/>
        <v>✅ PASS</v>
      </c>
    </row>
    <row r="77" spans="1:25" ht="15" customHeight="1" x14ac:dyDescent="0.25">
      <c r="A77" s="76"/>
      <c r="B77" s="37" t="s">
        <v>130</v>
      </c>
      <c r="C77" s="37" t="s">
        <v>67</v>
      </c>
      <c r="D77" s="37" t="s">
        <v>65</v>
      </c>
      <c r="E77" s="37" t="s">
        <v>75</v>
      </c>
      <c r="F77" s="37" t="s">
        <v>63</v>
      </c>
      <c r="G77" s="77">
        <v>290</v>
      </c>
      <c r="H77" s="78">
        <v>975.53</v>
      </c>
      <c r="I77" s="78">
        <v>282904.02</v>
      </c>
      <c r="J77" s="82">
        <v>0.20300000000000001</v>
      </c>
      <c r="K77" s="78">
        <v>225471.49</v>
      </c>
      <c r="L77" s="78">
        <v>2086.41</v>
      </c>
      <c r="M77" s="78">
        <v>227557.9</v>
      </c>
      <c r="N77" s="78">
        <v>2705657.85</v>
      </c>
      <c r="O77" s="78">
        <v>225471.49</v>
      </c>
      <c r="P77" s="37" t="s">
        <v>262</v>
      </c>
      <c r="Q77" s="80">
        <v>45536</v>
      </c>
      <c r="R77" s="37">
        <v>2024</v>
      </c>
      <c r="S77" s="37">
        <v>9</v>
      </c>
      <c r="T77" s="3"/>
      <c r="U77" s="68" t="b">
        <f t="shared" si="5"/>
        <v>1</v>
      </c>
      <c r="V77" s="68" t="b">
        <f t="shared" si="6"/>
        <v>1</v>
      </c>
      <c r="W77" s="68" t="b">
        <f t="shared" si="7"/>
        <v>1</v>
      </c>
      <c r="X77" s="68" t="b">
        <f t="shared" si="8"/>
        <v>1</v>
      </c>
      <c r="Y77" s="69" t="str">
        <f t="shared" si="9"/>
        <v>✅ PASS</v>
      </c>
    </row>
    <row r="78" spans="1:25" ht="15" customHeight="1" x14ac:dyDescent="0.25">
      <c r="A78" s="70"/>
      <c r="B78" s="33" t="s">
        <v>130</v>
      </c>
      <c r="C78" s="33" t="s">
        <v>67</v>
      </c>
      <c r="D78" s="33" t="s">
        <v>62</v>
      </c>
      <c r="E78" s="33" t="s">
        <v>78</v>
      </c>
      <c r="F78" s="33" t="s">
        <v>66</v>
      </c>
      <c r="G78" s="71">
        <v>196</v>
      </c>
      <c r="H78" s="72">
        <v>623.49</v>
      </c>
      <c r="I78" s="72">
        <v>122204.97</v>
      </c>
      <c r="J78" s="73">
        <v>9.4999999999999998E-3</v>
      </c>
      <c r="K78" s="72">
        <v>121044.02</v>
      </c>
      <c r="L78" s="72">
        <v>10878.91</v>
      </c>
      <c r="M78" s="72">
        <v>131922.93</v>
      </c>
      <c r="N78" s="72">
        <v>1452528.29</v>
      </c>
      <c r="O78" s="72">
        <v>121044.02</v>
      </c>
      <c r="P78" s="33" t="s">
        <v>262</v>
      </c>
      <c r="Q78" s="74">
        <v>45536</v>
      </c>
      <c r="R78" s="33">
        <v>2024</v>
      </c>
      <c r="S78" s="33">
        <v>9</v>
      </c>
      <c r="T78" s="3"/>
      <c r="U78" s="67" t="b">
        <f t="shared" si="5"/>
        <v>1</v>
      </c>
      <c r="V78" s="67" t="b">
        <f t="shared" si="6"/>
        <v>1</v>
      </c>
      <c r="W78" s="67" t="b">
        <f t="shared" si="7"/>
        <v>1</v>
      </c>
      <c r="X78" s="67" t="b">
        <f t="shared" si="8"/>
        <v>1</v>
      </c>
      <c r="Y78" s="75" t="str">
        <f t="shared" si="9"/>
        <v>✅ PASS</v>
      </c>
    </row>
    <row r="79" spans="1:25" ht="15" customHeight="1" x14ac:dyDescent="0.25">
      <c r="A79" s="76"/>
      <c r="B79" s="37" t="s">
        <v>130</v>
      </c>
      <c r="C79" s="37" t="s">
        <v>67</v>
      </c>
      <c r="D79" s="37" t="s">
        <v>68</v>
      </c>
      <c r="E79" s="37" t="s">
        <v>75</v>
      </c>
      <c r="F79" s="37" t="s">
        <v>66</v>
      </c>
      <c r="G79" s="77">
        <v>262</v>
      </c>
      <c r="H79" s="78">
        <v>1027.5999999999999</v>
      </c>
      <c r="I79" s="78">
        <v>269231.78000000003</v>
      </c>
      <c r="J79" s="79">
        <v>3.5499999999999997E-2</v>
      </c>
      <c r="K79" s="78">
        <v>259677.76</v>
      </c>
      <c r="L79" s="78">
        <v>11250.42</v>
      </c>
      <c r="M79" s="78">
        <v>270928.18</v>
      </c>
      <c r="N79" s="78">
        <v>3116133.08</v>
      </c>
      <c r="O79" s="78">
        <v>259677.76</v>
      </c>
      <c r="P79" s="37" t="s">
        <v>262</v>
      </c>
      <c r="Q79" s="80">
        <v>45536</v>
      </c>
      <c r="R79" s="37">
        <v>2024</v>
      </c>
      <c r="S79" s="37">
        <v>9</v>
      </c>
      <c r="T79" s="3"/>
      <c r="U79" s="68" t="b">
        <f t="shared" si="5"/>
        <v>1</v>
      </c>
      <c r="V79" s="68" t="b">
        <f t="shared" si="6"/>
        <v>1</v>
      </c>
      <c r="W79" s="68" t="b">
        <f t="shared" si="7"/>
        <v>1</v>
      </c>
      <c r="X79" s="68" t="b">
        <f t="shared" si="8"/>
        <v>1</v>
      </c>
      <c r="Y79" s="69" t="str">
        <f t="shared" si="9"/>
        <v>✅ PASS</v>
      </c>
    </row>
    <row r="80" spans="1:25" ht="15" customHeight="1" x14ac:dyDescent="0.25">
      <c r="A80" s="70"/>
      <c r="B80" s="33" t="s">
        <v>130</v>
      </c>
      <c r="C80" s="33" t="s">
        <v>64</v>
      </c>
      <c r="D80" s="33" t="s">
        <v>65</v>
      </c>
      <c r="E80" s="33" t="s">
        <v>81</v>
      </c>
      <c r="F80" s="33" t="s">
        <v>69</v>
      </c>
      <c r="G80" s="71">
        <v>87</v>
      </c>
      <c r="H80" s="72">
        <v>981.61</v>
      </c>
      <c r="I80" s="72">
        <v>85399.64</v>
      </c>
      <c r="J80" s="81">
        <v>0.1207</v>
      </c>
      <c r="K80" s="72">
        <v>75088.08</v>
      </c>
      <c r="L80" s="72">
        <v>10077.049999999999</v>
      </c>
      <c r="M80" s="72">
        <v>85165.13</v>
      </c>
      <c r="N80" s="72">
        <v>901056.94</v>
      </c>
      <c r="O80" s="72">
        <v>75088.08</v>
      </c>
      <c r="P80" s="33" t="s">
        <v>262</v>
      </c>
      <c r="Q80" s="74">
        <v>45536</v>
      </c>
      <c r="R80" s="33">
        <v>2024</v>
      </c>
      <c r="S80" s="33">
        <v>9</v>
      </c>
      <c r="T80" s="3"/>
      <c r="U80" s="67" t="b">
        <f t="shared" si="5"/>
        <v>1</v>
      </c>
      <c r="V80" s="67" t="b">
        <f t="shared" si="6"/>
        <v>1</v>
      </c>
      <c r="W80" s="67" t="b">
        <f t="shared" si="7"/>
        <v>1</v>
      </c>
      <c r="X80" s="67" t="b">
        <f t="shared" si="8"/>
        <v>1</v>
      </c>
      <c r="Y80" s="75" t="str">
        <f t="shared" si="9"/>
        <v>✅ PASS</v>
      </c>
    </row>
    <row r="81" spans="1:25" ht="15" customHeight="1" x14ac:dyDescent="0.25">
      <c r="A81" s="76"/>
      <c r="B81" s="37" t="s">
        <v>130</v>
      </c>
      <c r="C81" s="37" t="s">
        <v>64</v>
      </c>
      <c r="D81" s="37" t="s">
        <v>62</v>
      </c>
      <c r="E81" s="37" t="s">
        <v>78</v>
      </c>
      <c r="F81" s="37" t="s">
        <v>63</v>
      </c>
      <c r="G81" s="77">
        <v>276</v>
      </c>
      <c r="H81" s="78">
        <v>815.6</v>
      </c>
      <c r="I81" s="78">
        <v>225105.3</v>
      </c>
      <c r="J81" s="79">
        <v>7.2300000000000003E-2</v>
      </c>
      <c r="K81" s="78">
        <v>208832.36</v>
      </c>
      <c r="L81" s="78">
        <v>-8911.59</v>
      </c>
      <c r="M81" s="78">
        <v>199920.77</v>
      </c>
      <c r="N81" s="78">
        <v>2505988.29</v>
      </c>
      <c r="O81" s="78">
        <v>208832.36</v>
      </c>
      <c r="P81" s="37" t="s">
        <v>262</v>
      </c>
      <c r="Q81" s="80">
        <v>45536</v>
      </c>
      <c r="R81" s="37">
        <v>2024</v>
      </c>
      <c r="S81" s="37">
        <v>9</v>
      </c>
      <c r="T81" s="3"/>
      <c r="U81" s="68" t="b">
        <f t="shared" si="5"/>
        <v>1</v>
      </c>
      <c r="V81" s="68" t="b">
        <f t="shared" si="6"/>
        <v>1</v>
      </c>
      <c r="W81" s="68" t="b">
        <f t="shared" si="7"/>
        <v>1</v>
      </c>
      <c r="X81" s="68" t="b">
        <f t="shared" si="8"/>
        <v>1</v>
      </c>
      <c r="Y81" s="69" t="str">
        <f t="shared" si="9"/>
        <v>✅ PASS</v>
      </c>
    </row>
    <row r="82" spans="1:25" ht="15" customHeight="1" x14ac:dyDescent="0.25">
      <c r="A82" s="70"/>
      <c r="B82" s="33" t="s">
        <v>130</v>
      </c>
      <c r="C82" s="33" t="s">
        <v>64</v>
      </c>
      <c r="D82" s="33" t="s">
        <v>68</v>
      </c>
      <c r="E82" s="33" t="s">
        <v>81</v>
      </c>
      <c r="F82" s="33" t="s">
        <v>63</v>
      </c>
      <c r="G82" s="71">
        <v>58</v>
      </c>
      <c r="H82" s="72">
        <v>509.09</v>
      </c>
      <c r="I82" s="72">
        <v>29527.02</v>
      </c>
      <c r="J82" s="73">
        <v>3.4000000000000002E-2</v>
      </c>
      <c r="K82" s="72">
        <v>28523.66</v>
      </c>
      <c r="L82" s="72">
        <v>3515.07</v>
      </c>
      <c r="M82" s="72">
        <v>32038.73</v>
      </c>
      <c r="N82" s="72">
        <v>342283.98</v>
      </c>
      <c r="O82" s="72">
        <v>28523.66</v>
      </c>
      <c r="P82" s="33" t="s">
        <v>262</v>
      </c>
      <c r="Q82" s="74">
        <v>45536</v>
      </c>
      <c r="R82" s="33">
        <v>2024</v>
      </c>
      <c r="S82" s="33">
        <v>9</v>
      </c>
      <c r="T82" s="3"/>
      <c r="U82" s="67" t="b">
        <f t="shared" si="5"/>
        <v>1</v>
      </c>
      <c r="V82" s="67" t="b">
        <f t="shared" si="6"/>
        <v>1</v>
      </c>
      <c r="W82" s="67" t="b">
        <f t="shared" si="7"/>
        <v>1</v>
      </c>
      <c r="X82" s="67" t="b">
        <f t="shared" si="8"/>
        <v>1</v>
      </c>
      <c r="Y82" s="75" t="str">
        <f t="shared" si="9"/>
        <v>✅ PASS</v>
      </c>
    </row>
    <row r="83" spans="1:25" ht="15" customHeight="1" x14ac:dyDescent="0.25">
      <c r="A83" s="76"/>
      <c r="B83" s="37" t="s">
        <v>131</v>
      </c>
      <c r="C83" s="37" t="s">
        <v>61</v>
      </c>
      <c r="D83" s="37" t="s">
        <v>65</v>
      </c>
      <c r="E83" s="37" t="s">
        <v>81</v>
      </c>
      <c r="F83" s="37" t="s">
        <v>66</v>
      </c>
      <c r="G83" s="77">
        <v>171</v>
      </c>
      <c r="H83" s="78">
        <v>474.9</v>
      </c>
      <c r="I83" s="78">
        <v>81208.19</v>
      </c>
      <c r="J83" s="82">
        <v>0.1711</v>
      </c>
      <c r="K83" s="78">
        <v>67312.649999999994</v>
      </c>
      <c r="L83" s="78">
        <v>4426.57</v>
      </c>
      <c r="M83" s="78">
        <v>71739.22</v>
      </c>
      <c r="N83" s="78">
        <v>807751.75</v>
      </c>
      <c r="O83" s="78">
        <v>67312.649999999994</v>
      </c>
      <c r="P83" s="37" t="s">
        <v>262</v>
      </c>
      <c r="Q83" s="80">
        <v>45566</v>
      </c>
      <c r="R83" s="37">
        <v>2024</v>
      </c>
      <c r="S83" s="37">
        <v>10</v>
      </c>
      <c r="T83" s="3"/>
      <c r="U83" s="68" t="b">
        <f t="shared" si="5"/>
        <v>1</v>
      </c>
      <c r="V83" s="68" t="b">
        <f t="shared" si="6"/>
        <v>1</v>
      </c>
      <c r="W83" s="68" t="b">
        <f t="shared" si="7"/>
        <v>1</v>
      </c>
      <c r="X83" s="68" t="b">
        <f t="shared" si="8"/>
        <v>1</v>
      </c>
      <c r="Y83" s="69" t="str">
        <f t="shared" si="9"/>
        <v>✅ PASS</v>
      </c>
    </row>
    <row r="84" spans="1:25" ht="15" customHeight="1" x14ac:dyDescent="0.25">
      <c r="A84" s="70"/>
      <c r="B84" s="33" t="s">
        <v>131</v>
      </c>
      <c r="C84" s="33" t="s">
        <v>61</v>
      </c>
      <c r="D84" s="33" t="s">
        <v>62</v>
      </c>
      <c r="E84" s="33" t="s">
        <v>75</v>
      </c>
      <c r="F84" s="33" t="s">
        <v>69</v>
      </c>
      <c r="G84" s="71">
        <v>195</v>
      </c>
      <c r="H84" s="72">
        <v>942.55</v>
      </c>
      <c r="I84" s="72">
        <v>183796.73</v>
      </c>
      <c r="J84" s="81">
        <v>0.2266</v>
      </c>
      <c r="K84" s="72">
        <v>142145.82</v>
      </c>
      <c r="L84" s="72">
        <v>-1561.92</v>
      </c>
      <c r="M84" s="72">
        <v>140583.9</v>
      </c>
      <c r="N84" s="72">
        <v>1705749.79</v>
      </c>
      <c r="O84" s="72">
        <v>142145.82</v>
      </c>
      <c r="P84" s="33" t="s">
        <v>262</v>
      </c>
      <c r="Q84" s="74">
        <v>45566</v>
      </c>
      <c r="R84" s="33">
        <v>2024</v>
      </c>
      <c r="S84" s="33">
        <v>10</v>
      </c>
      <c r="T84" s="3"/>
      <c r="U84" s="67" t="b">
        <f t="shared" si="5"/>
        <v>1</v>
      </c>
      <c r="V84" s="67" t="b">
        <f t="shared" si="6"/>
        <v>1</v>
      </c>
      <c r="W84" s="67" t="b">
        <f t="shared" si="7"/>
        <v>1</v>
      </c>
      <c r="X84" s="67" t="b">
        <f t="shared" si="8"/>
        <v>1</v>
      </c>
      <c r="Y84" s="75" t="str">
        <f t="shared" si="9"/>
        <v>✅ PASS</v>
      </c>
    </row>
    <row r="85" spans="1:25" ht="15" customHeight="1" x14ac:dyDescent="0.25">
      <c r="A85" s="76"/>
      <c r="B85" s="37" t="s">
        <v>131</v>
      </c>
      <c r="C85" s="37" t="s">
        <v>61</v>
      </c>
      <c r="D85" s="37" t="s">
        <v>68</v>
      </c>
      <c r="E85" s="37" t="s">
        <v>75</v>
      </c>
      <c r="F85" s="37" t="s">
        <v>63</v>
      </c>
      <c r="G85" s="77">
        <v>67</v>
      </c>
      <c r="H85" s="78">
        <v>730.62</v>
      </c>
      <c r="I85" s="78">
        <v>48951.82</v>
      </c>
      <c r="J85" s="79">
        <v>9.4600000000000004E-2</v>
      </c>
      <c r="K85" s="78">
        <v>44319.81</v>
      </c>
      <c r="L85" s="78">
        <v>6178.61</v>
      </c>
      <c r="M85" s="78">
        <v>50498.42</v>
      </c>
      <c r="N85" s="78">
        <v>531837.76</v>
      </c>
      <c r="O85" s="78">
        <v>44319.81</v>
      </c>
      <c r="P85" s="37" t="s">
        <v>262</v>
      </c>
      <c r="Q85" s="80">
        <v>45566</v>
      </c>
      <c r="R85" s="37">
        <v>2024</v>
      </c>
      <c r="S85" s="37">
        <v>10</v>
      </c>
      <c r="T85" s="3"/>
      <c r="U85" s="68" t="b">
        <f t="shared" si="5"/>
        <v>1</v>
      </c>
      <c r="V85" s="68" t="b">
        <f t="shared" si="6"/>
        <v>1</v>
      </c>
      <c r="W85" s="68" t="b">
        <f t="shared" si="7"/>
        <v>1</v>
      </c>
      <c r="X85" s="68" t="b">
        <f t="shared" si="8"/>
        <v>1</v>
      </c>
      <c r="Y85" s="69" t="str">
        <f t="shared" si="9"/>
        <v>✅ PASS</v>
      </c>
    </row>
    <row r="86" spans="1:25" ht="15" customHeight="1" x14ac:dyDescent="0.25">
      <c r="A86" s="70"/>
      <c r="B86" s="33" t="s">
        <v>131</v>
      </c>
      <c r="C86" s="33" t="s">
        <v>67</v>
      </c>
      <c r="D86" s="33" t="s">
        <v>65</v>
      </c>
      <c r="E86" s="33" t="s">
        <v>78</v>
      </c>
      <c r="F86" s="33" t="s">
        <v>66</v>
      </c>
      <c r="G86" s="71">
        <v>149</v>
      </c>
      <c r="H86" s="72">
        <v>210.37</v>
      </c>
      <c r="I86" s="72">
        <v>31345.360000000001</v>
      </c>
      <c r="J86" s="81">
        <v>0.21679999999999999</v>
      </c>
      <c r="K86" s="72">
        <v>24549.360000000001</v>
      </c>
      <c r="L86" s="72">
        <v>-1481.98</v>
      </c>
      <c r="M86" s="72">
        <v>23067.38</v>
      </c>
      <c r="N86" s="72">
        <v>294592.36</v>
      </c>
      <c r="O86" s="72">
        <v>24549.360000000001</v>
      </c>
      <c r="P86" s="33" t="s">
        <v>262</v>
      </c>
      <c r="Q86" s="74">
        <v>45566</v>
      </c>
      <c r="R86" s="33">
        <v>2024</v>
      </c>
      <c r="S86" s="33">
        <v>10</v>
      </c>
      <c r="T86" s="3"/>
      <c r="U86" s="67" t="b">
        <f t="shared" si="5"/>
        <v>1</v>
      </c>
      <c r="V86" s="67" t="b">
        <f t="shared" si="6"/>
        <v>1</v>
      </c>
      <c r="W86" s="67" t="b">
        <f t="shared" si="7"/>
        <v>1</v>
      </c>
      <c r="X86" s="67" t="b">
        <f t="shared" si="8"/>
        <v>1</v>
      </c>
      <c r="Y86" s="75" t="str">
        <f t="shared" si="9"/>
        <v>✅ PASS</v>
      </c>
    </row>
    <row r="87" spans="1:25" ht="15" customHeight="1" x14ac:dyDescent="0.25">
      <c r="A87" s="76"/>
      <c r="B87" s="37" t="s">
        <v>131</v>
      </c>
      <c r="C87" s="37" t="s">
        <v>67</v>
      </c>
      <c r="D87" s="37" t="s">
        <v>62</v>
      </c>
      <c r="E87" s="37" t="s">
        <v>75</v>
      </c>
      <c r="F87" s="37" t="s">
        <v>69</v>
      </c>
      <c r="G87" s="77">
        <v>177</v>
      </c>
      <c r="H87" s="78">
        <v>996.89</v>
      </c>
      <c r="I87" s="78">
        <v>176450.16</v>
      </c>
      <c r="J87" s="82">
        <v>0.1772</v>
      </c>
      <c r="K87" s="78">
        <v>145185.34</v>
      </c>
      <c r="L87" s="78">
        <v>560.16</v>
      </c>
      <c r="M87" s="78">
        <v>145745.5</v>
      </c>
      <c r="N87" s="78">
        <v>1742224.06</v>
      </c>
      <c r="O87" s="78">
        <v>145185.34</v>
      </c>
      <c r="P87" s="37" t="s">
        <v>262</v>
      </c>
      <c r="Q87" s="80">
        <v>45566</v>
      </c>
      <c r="R87" s="37">
        <v>2024</v>
      </c>
      <c r="S87" s="37">
        <v>10</v>
      </c>
      <c r="T87" s="3"/>
      <c r="U87" s="68" t="b">
        <f t="shared" si="5"/>
        <v>1</v>
      </c>
      <c r="V87" s="68" t="b">
        <f t="shared" si="6"/>
        <v>1</v>
      </c>
      <c r="W87" s="68" t="b">
        <f t="shared" si="7"/>
        <v>1</v>
      </c>
      <c r="X87" s="68" t="b">
        <f t="shared" si="8"/>
        <v>1</v>
      </c>
      <c r="Y87" s="69" t="str">
        <f t="shared" si="9"/>
        <v>✅ PASS</v>
      </c>
    </row>
    <row r="88" spans="1:25" ht="15" customHeight="1" x14ac:dyDescent="0.25">
      <c r="A88" s="70"/>
      <c r="B88" s="33" t="s">
        <v>131</v>
      </c>
      <c r="C88" s="33" t="s">
        <v>67</v>
      </c>
      <c r="D88" s="33" t="s">
        <v>68</v>
      </c>
      <c r="E88" s="33" t="s">
        <v>75</v>
      </c>
      <c r="F88" s="33" t="s">
        <v>69</v>
      </c>
      <c r="G88" s="71">
        <v>110</v>
      </c>
      <c r="H88" s="72">
        <v>399.94</v>
      </c>
      <c r="I88" s="72">
        <v>43993.84</v>
      </c>
      <c r="J88" s="73">
        <v>1.9900000000000001E-2</v>
      </c>
      <c r="K88" s="72">
        <v>43118.29</v>
      </c>
      <c r="L88" s="72">
        <v>3983.83</v>
      </c>
      <c r="M88" s="72">
        <v>47102.12</v>
      </c>
      <c r="N88" s="72">
        <v>517419.54</v>
      </c>
      <c r="O88" s="72">
        <v>43118.29</v>
      </c>
      <c r="P88" s="33" t="s">
        <v>262</v>
      </c>
      <c r="Q88" s="74">
        <v>45566</v>
      </c>
      <c r="R88" s="33">
        <v>2024</v>
      </c>
      <c r="S88" s="33">
        <v>10</v>
      </c>
      <c r="T88" s="3"/>
      <c r="U88" s="67" t="b">
        <f t="shared" si="5"/>
        <v>1</v>
      </c>
      <c r="V88" s="67" t="b">
        <f t="shared" si="6"/>
        <v>1</v>
      </c>
      <c r="W88" s="67" t="b">
        <f t="shared" si="7"/>
        <v>1</v>
      </c>
      <c r="X88" s="67" t="b">
        <f t="shared" si="8"/>
        <v>1</v>
      </c>
      <c r="Y88" s="75" t="str">
        <f t="shared" si="9"/>
        <v>✅ PASS</v>
      </c>
    </row>
    <row r="89" spans="1:25" ht="15" customHeight="1" x14ac:dyDescent="0.25">
      <c r="A89" s="76"/>
      <c r="B89" s="37" t="s">
        <v>131</v>
      </c>
      <c r="C89" s="37" t="s">
        <v>64</v>
      </c>
      <c r="D89" s="37" t="s">
        <v>65</v>
      </c>
      <c r="E89" s="37" t="s">
        <v>75</v>
      </c>
      <c r="F89" s="37" t="s">
        <v>69</v>
      </c>
      <c r="G89" s="77">
        <v>267</v>
      </c>
      <c r="H89" s="78">
        <v>926.84</v>
      </c>
      <c r="I89" s="78">
        <v>247467.02</v>
      </c>
      <c r="J89" s="82">
        <v>0.12870000000000001</v>
      </c>
      <c r="K89" s="78">
        <v>215626.27</v>
      </c>
      <c r="L89" s="78">
        <v>3475.67</v>
      </c>
      <c r="M89" s="78">
        <v>219101.94</v>
      </c>
      <c r="N89" s="78">
        <v>2587515.2200000002</v>
      </c>
      <c r="O89" s="78">
        <v>215626.27</v>
      </c>
      <c r="P89" s="37" t="s">
        <v>262</v>
      </c>
      <c r="Q89" s="80">
        <v>45566</v>
      </c>
      <c r="R89" s="37">
        <v>2024</v>
      </c>
      <c r="S89" s="37">
        <v>10</v>
      </c>
      <c r="T89" s="3"/>
      <c r="U89" s="68" t="b">
        <f t="shared" si="5"/>
        <v>1</v>
      </c>
      <c r="V89" s="68" t="b">
        <f t="shared" si="6"/>
        <v>1</v>
      </c>
      <c r="W89" s="68" t="b">
        <f t="shared" si="7"/>
        <v>1</v>
      </c>
      <c r="X89" s="68" t="b">
        <f t="shared" si="8"/>
        <v>1</v>
      </c>
      <c r="Y89" s="69" t="str">
        <f t="shared" si="9"/>
        <v>✅ PASS</v>
      </c>
    </row>
    <row r="90" spans="1:25" ht="15" customHeight="1" x14ac:dyDescent="0.25">
      <c r="A90" s="70"/>
      <c r="B90" s="33" t="s">
        <v>131</v>
      </c>
      <c r="C90" s="33" t="s">
        <v>64</v>
      </c>
      <c r="D90" s="33" t="s">
        <v>62</v>
      </c>
      <c r="E90" s="33" t="s">
        <v>78</v>
      </c>
      <c r="F90" s="33" t="s">
        <v>66</v>
      </c>
      <c r="G90" s="71">
        <v>130</v>
      </c>
      <c r="H90" s="72">
        <v>286.16000000000003</v>
      </c>
      <c r="I90" s="72">
        <v>37200.379999999997</v>
      </c>
      <c r="J90" s="73">
        <v>0.1157</v>
      </c>
      <c r="K90" s="72">
        <v>32897.43</v>
      </c>
      <c r="L90" s="72">
        <v>-364.23</v>
      </c>
      <c r="M90" s="72">
        <v>32533.200000000001</v>
      </c>
      <c r="N90" s="72">
        <v>394769.19</v>
      </c>
      <c r="O90" s="72">
        <v>32897.43</v>
      </c>
      <c r="P90" s="33" t="s">
        <v>262</v>
      </c>
      <c r="Q90" s="74">
        <v>45566</v>
      </c>
      <c r="R90" s="33">
        <v>2024</v>
      </c>
      <c r="S90" s="33">
        <v>10</v>
      </c>
      <c r="T90" s="3"/>
      <c r="U90" s="67" t="b">
        <f t="shared" si="5"/>
        <v>1</v>
      </c>
      <c r="V90" s="67" t="b">
        <f t="shared" si="6"/>
        <v>1</v>
      </c>
      <c r="W90" s="67" t="b">
        <f t="shared" si="7"/>
        <v>1</v>
      </c>
      <c r="X90" s="67" t="b">
        <f t="shared" si="8"/>
        <v>1</v>
      </c>
      <c r="Y90" s="75" t="str">
        <f t="shared" si="9"/>
        <v>✅ PASS</v>
      </c>
    </row>
    <row r="91" spans="1:25" ht="15" customHeight="1" x14ac:dyDescent="0.25">
      <c r="A91" s="76"/>
      <c r="B91" s="37" t="s">
        <v>131</v>
      </c>
      <c r="C91" s="37" t="s">
        <v>64</v>
      </c>
      <c r="D91" s="37" t="s">
        <v>68</v>
      </c>
      <c r="E91" s="37" t="s">
        <v>78</v>
      </c>
      <c r="F91" s="37" t="s">
        <v>66</v>
      </c>
      <c r="G91" s="77">
        <v>76</v>
      </c>
      <c r="H91" s="78">
        <v>813.39</v>
      </c>
      <c r="I91" s="78">
        <v>61817.59</v>
      </c>
      <c r="J91" s="79">
        <v>1.2699999999999999E-2</v>
      </c>
      <c r="K91" s="78">
        <v>61035.34</v>
      </c>
      <c r="L91" s="78">
        <v>6127.85</v>
      </c>
      <c r="M91" s="78">
        <v>67163.19</v>
      </c>
      <c r="N91" s="78">
        <v>732424.1</v>
      </c>
      <c r="O91" s="78">
        <v>61035.34</v>
      </c>
      <c r="P91" s="37" t="s">
        <v>262</v>
      </c>
      <c r="Q91" s="80">
        <v>45566</v>
      </c>
      <c r="R91" s="37">
        <v>2024</v>
      </c>
      <c r="S91" s="37">
        <v>10</v>
      </c>
      <c r="T91" s="3"/>
      <c r="U91" s="68" t="b">
        <f t="shared" si="5"/>
        <v>1</v>
      </c>
      <c r="V91" s="68" t="b">
        <f t="shared" si="6"/>
        <v>1</v>
      </c>
      <c r="W91" s="68" t="b">
        <f t="shared" si="7"/>
        <v>1</v>
      </c>
      <c r="X91" s="68" t="b">
        <f t="shared" si="8"/>
        <v>1</v>
      </c>
      <c r="Y91" s="69" t="str">
        <f t="shared" si="9"/>
        <v>✅ PASS</v>
      </c>
    </row>
    <row r="92" spans="1:25" ht="15" customHeight="1" x14ac:dyDescent="0.25">
      <c r="A92" s="70"/>
      <c r="B92" s="33" t="s">
        <v>132</v>
      </c>
      <c r="C92" s="33" t="s">
        <v>61</v>
      </c>
      <c r="D92" s="33" t="s">
        <v>65</v>
      </c>
      <c r="E92" s="33" t="s">
        <v>81</v>
      </c>
      <c r="F92" s="33" t="s">
        <v>66</v>
      </c>
      <c r="G92" s="71">
        <v>166</v>
      </c>
      <c r="H92" s="72">
        <v>411.43</v>
      </c>
      <c r="I92" s="72">
        <v>68297.56</v>
      </c>
      <c r="J92" s="73">
        <v>0.1004</v>
      </c>
      <c r="K92" s="72">
        <v>61440.35</v>
      </c>
      <c r="L92" s="72">
        <v>839.84</v>
      </c>
      <c r="M92" s="72">
        <v>62280.19</v>
      </c>
      <c r="N92" s="72">
        <v>737284.18</v>
      </c>
      <c r="O92" s="72">
        <v>61440.35</v>
      </c>
      <c r="P92" s="33" t="s">
        <v>262</v>
      </c>
      <c r="Q92" s="74">
        <v>45597</v>
      </c>
      <c r="R92" s="33">
        <v>2024</v>
      </c>
      <c r="S92" s="33">
        <v>11</v>
      </c>
      <c r="T92" s="3"/>
      <c r="U92" s="67" t="b">
        <f t="shared" si="5"/>
        <v>1</v>
      </c>
      <c r="V92" s="67" t="b">
        <f t="shared" si="6"/>
        <v>1</v>
      </c>
      <c r="W92" s="67" t="b">
        <f t="shared" si="7"/>
        <v>1</v>
      </c>
      <c r="X92" s="67" t="b">
        <f t="shared" si="8"/>
        <v>1</v>
      </c>
      <c r="Y92" s="75" t="str">
        <f t="shared" si="9"/>
        <v>✅ PASS</v>
      </c>
    </row>
    <row r="93" spans="1:25" ht="15" customHeight="1" x14ac:dyDescent="0.25">
      <c r="A93" s="76"/>
      <c r="B93" s="37" t="s">
        <v>132</v>
      </c>
      <c r="C93" s="37" t="s">
        <v>61</v>
      </c>
      <c r="D93" s="37" t="s">
        <v>62</v>
      </c>
      <c r="E93" s="37" t="s">
        <v>75</v>
      </c>
      <c r="F93" s="37" t="s">
        <v>63</v>
      </c>
      <c r="G93" s="77">
        <v>291</v>
      </c>
      <c r="H93" s="78">
        <v>549.38</v>
      </c>
      <c r="I93" s="78">
        <v>159870.49</v>
      </c>
      <c r="J93" s="79">
        <v>5.4899999999999997E-2</v>
      </c>
      <c r="K93" s="78">
        <v>151100.21</v>
      </c>
      <c r="L93" s="78">
        <v>-13191.62</v>
      </c>
      <c r="M93" s="78">
        <v>137908.59</v>
      </c>
      <c r="N93" s="78">
        <v>1813202.48</v>
      </c>
      <c r="O93" s="78">
        <v>151100.21</v>
      </c>
      <c r="P93" s="37" t="s">
        <v>262</v>
      </c>
      <c r="Q93" s="80">
        <v>45597</v>
      </c>
      <c r="R93" s="37">
        <v>2024</v>
      </c>
      <c r="S93" s="37">
        <v>11</v>
      </c>
      <c r="T93" s="3"/>
      <c r="U93" s="68" t="b">
        <f t="shared" si="5"/>
        <v>1</v>
      </c>
      <c r="V93" s="68" t="b">
        <f t="shared" si="6"/>
        <v>1</v>
      </c>
      <c r="W93" s="68" t="b">
        <f t="shared" si="7"/>
        <v>1</v>
      </c>
      <c r="X93" s="68" t="b">
        <f t="shared" si="8"/>
        <v>1</v>
      </c>
      <c r="Y93" s="69" t="str">
        <f t="shared" si="9"/>
        <v>✅ PASS</v>
      </c>
    </row>
    <row r="94" spans="1:25" ht="15" customHeight="1" x14ac:dyDescent="0.25">
      <c r="A94" s="70"/>
      <c r="B94" s="33" t="s">
        <v>132</v>
      </c>
      <c r="C94" s="33" t="s">
        <v>61</v>
      </c>
      <c r="D94" s="33" t="s">
        <v>68</v>
      </c>
      <c r="E94" s="33" t="s">
        <v>81</v>
      </c>
      <c r="F94" s="33" t="s">
        <v>63</v>
      </c>
      <c r="G94" s="71">
        <v>184</v>
      </c>
      <c r="H94" s="72">
        <v>1107.79</v>
      </c>
      <c r="I94" s="72">
        <v>203833.41</v>
      </c>
      <c r="J94" s="81">
        <v>0.1462</v>
      </c>
      <c r="K94" s="72">
        <v>174034.13</v>
      </c>
      <c r="L94" s="72">
        <v>-4106.6499999999996</v>
      </c>
      <c r="M94" s="72">
        <v>169927.49</v>
      </c>
      <c r="N94" s="72">
        <v>2088409.58</v>
      </c>
      <c r="O94" s="72">
        <v>174034.13</v>
      </c>
      <c r="P94" s="33" t="s">
        <v>262</v>
      </c>
      <c r="Q94" s="74">
        <v>45597</v>
      </c>
      <c r="R94" s="33">
        <v>2024</v>
      </c>
      <c r="S94" s="33">
        <v>11</v>
      </c>
      <c r="T94" s="3"/>
      <c r="U94" s="67" t="b">
        <f t="shared" si="5"/>
        <v>1</v>
      </c>
      <c r="V94" s="67" t="b">
        <f t="shared" si="6"/>
        <v>1</v>
      </c>
      <c r="W94" s="67" t="b">
        <f t="shared" si="7"/>
        <v>1</v>
      </c>
      <c r="X94" s="67" t="b">
        <f t="shared" si="8"/>
        <v>1</v>
      </c>
      <c r="Y94" s="75" t="str">
        <f t="shared" si="9"/>
        <v>✅ PASS</v>
      </c>
    </row>
    <row r="95" spans="1:25" ht="15" customHeight="1" x14ac:dyDescent="0.25">
      <c r="A95" s="76"/>
      <c r="B95" s="37" t="s">
        <v>132</v>
      </c>
      <c r="C95" s="37" t="s">
        <v>67</v>
      </c>
      <c r="D95" s="37" t="s">
        <v>65</v>
      </c>
      <c r="E95" s="37" t="s">
        <v>75</v>
      </c>
      <c r="F95" s="37" t="s">
        <v>66</v>
      </c>
      <c r="G95" s="77">
        <v>153</v>
      </c>
      <c r="H95" s="78">
        <v>627</v>
      </c>
      <c r="I95" s="78">
        <v>95931.520000000004</v>
      </c>
      <c r="J95" s="79">
        <v>1.09E-2</v>
      </c>
      <c r="K95" s="78">
        <v>94882.59</v>
      </c>
      <c r="L95" s="78">
        <v>5264.35</v>
      </c>
      <c r="M95" s="78">
        <v>100146.93</v>
      </c>
      <c r="N95" s="78">
        <v>1138591.05</v>
      </c>
      <c r="O95" s="78">
        <v>94882.59</v>
      </c>
      <c r="P95" s="37" t="s">
        <v>262</v>
      </c>
      <c r="Q95" s="80">
        <v>45597</v>
      </c>
      <c r="R95" s="37">
        <v>2024</v>
      </c>
      <c r="S95" s="37">
        <v>11</v>
      </c>
      <c r="T95" s="3"/>
      <c r="U95" s="68" t="b">
        <f t="shared" si="5"/>
        <v>1</v>
      </c>
      <c r="V95" s="68" t="b">
        <f t="shared" si="6"/>
        <v>1</v>
      </c>
      <c r="W95" s="68" t="b">
        <f t="shared" si="7"/>
        <v>1</v>
      </c>
      <c r="X95" s="68" t="b">
        <f t="shared" si="8"/>
        <v>1</v>
      </c>
      <c r="Y95" s="69" t="str">
        <f t="shared" si="9"/>
        <v>✅ PASS</v>
      </c>
    </row>
    <row r="96" spans="1:25" ht="15" customHeight="1" x14ac:dyDescent="0.25">
      <c r="A96" s="70"/>
      <c r="B96" s="33" t="s">
        <v>132</v>
      </c>
      <c r="C96" s="33" t="s">
        <v>67</v>
      </c>
      <c r="D96" s="33" t="s">
        <v>62</v>
      </c>
      <c r="E96" s="33" t="s">
        <v>81</v>
      </c>
      <c r="F96" s="33" t="s">
        <v>69</v>
      </c>
      <c r="G96" s="71">
        <v>250</v>
      </c>
      <c r="H96" s="72">
        <v>231.37</v>
      </c>
      <c r="I96" s="72">
        <v>57842.53</v>
      </c>
      <c r="J96" s="81">
        <v>0.18579999999999999</v>
      </c>
      <c r="K96" s="72">
        <v>47096.03</v>
      </c>
      <c r="L96" s="72">
        <v>3817.66</v>
      </c>
      <c r="M96" s="72">
        <v>50913.68</v>
      </c>
      <c r="N96" s="72">
        <v>565152.31999999995</v>
      </c>
      <c r="O96" s="72">
        <v>47096.03</v>
      </c>
      <c r="P96" s="33" t="s">
        <v>262</v>
      </c>
      <c r="Q96" s="74">
        <v>45597</v>
      </c>
      <c r="R96" s="33">
        <v>2024</v>
      </c>
      <c r="S96" s="33">
        <v>11</v>
      </c>
      <c r="T96" s="3"/>
      <c r="U96" s="67" t="b">
        <f t="shared" si="5"/>
        <v>1</v>
      </c>
      <c r="V96" s="67" t="b">
        <f t="shared" si="6"/>
        <v>1</v>
      </c>
      <c r="W96" s="67" t="b">
        <f t="shared" si="7"/>
        <v>1</v>
      </c>
      <c r="X96" s="67" t="b">
        <f t="shared" si="8"/>
        <v>1</v>
      </c>
      <c r="Y96" s="75" t="str">
        <f t="shared" si="9"/>
        <v>✅ PASS</v>
      </c>
    </row>
    <row r="97" spans="1:25" ht="15" customHeight="1" x14ac:dyDescent="0.25">
      <c r="A97" s="76"/>
      <c r="B97" s="37" t="s">
        <v>132</v>
      </c>
      <c r="C97" s="37" t="s">
        <v>67</v>
      </c>
      <c r="D97" s="37" t="s">
        <v>68</v>
      </c>
      <c r="E97" s="37" t="s">
        <v>81</v>
      </c>
      <c r="F97" s="37" t="s">
        <v>66</v>
      </c>
      <c r="G97" s="77">
        <v>52</v>
      </c>
      <c r="H97" s="78">
        <v>1175.1500000000001</v>
      </c>
      <c r="I97" s="78">
        <v>61107.86</v>
      </c>
      <c r="J97" s="82">
        <v>0.1298</v>
      </c>
      <c r="K97" s="78">
        <v>53176.11</v>
      </c>
      <c r="L97" s="78">
        <v>1437.43</v>
      </c>
      <c r="M97" s="78">
        <v>54613.54</v>
      </c>
      <c r="N97" s="78">
        <v>638113.34</v>
      </c>
      <c r="O97" s="78">
        <v>53176.11</v>
      </c>
      <c r="P97" s="37" t="s">
        <v>262</v>
      </c>
      <c r="Q97" s="80">
        <v>45597</v>
      </c>
      <c r="R97" s="37">
        <v>2024</v>
      </c>
      <c r="S97" s="37">
        <v>11</v>
      </c>
      <c r="T97" s="3"/>
      <c r="U97" s="68" t="b">
        <f t="shared" si="5"/>
        <v>1</v>
      </c>
      <c r="V97" s="68" t="b">
        <f t="shared" si="6"/>
        <v>1</v>
      </c>
      <c r="W97" s="68" t="b">
        <f t="shared" si="7"/>
        <v>1</v>
      </c>
      <c r="X97" s="68" t="b">
        <f t="shared" si="8"/>
        <v>1</v>
      </c>
      <c r="Y97" s="69" t="str">
        <f t="shared" si="9"/>
        <v>✅ PASS</v>
      </c>
    </row>
    <row r="98" spans="1:25" ht="15" customHeight="1" x14ac:dyDescent="0.25">
      <c r="A98" s="70"/>
      <c r="B98" s="33" t="s">
        <v>132</v>
      </c>
      <c r="C98" s="33" t="s">
        <v>64</v>
      </c>
      <c r="D98" s="33" t="s">
        <v>65</v>
      </c>
      <c r="E98" s="33" t="s">
        <v>81</v>
      </c>
      <c r="F98" s="33" t="s">
        <v>69</v>
      </c>
      <c r="G98" s="71">
        <v>209</v>
      </c>
      <c r="H98" s="72">
        <v>245</v>
      </c>
      <c r="I98" s="72">
        <v>51205.52</v>
      </c>
      <c r="J98" s="73">
        <v>9.6699999999999994E-2</v>
      </c>
      <c r="K98" s="72">
        <v>46251.519999999997</v>
      </c>
      <c r="L98" s="72">
        <v>-1623.53</v>
      </c>
      <c r="M98" s="72">
        <v>44627.98</v>
      </c>
      <c r="N98" s="72">
        <v>555018.18000000005</v>
      </c>
      <c r="O98" s="72">
        <v>46251.519999999997</v>
      </c>
      <c r="P98" s="33" t="s">
        <v>262</v>
      </c>
      <c r="Q98" s="74">
        <v>45597</v>
      </c>
      <c r="R98" s="33">
        <v>2024</v>
      </c>
      <c r="S98" s="33">
        <v>11</v>
      </c>
      <c r="T98" s="3"/>
      <c r="U98" s="67" t="b">
        <f t="shared" si="5"/>
        <v>1</v>
      </c>
      <c r="V98" s="67" t="b">
        <f t="shared" si="6"/>
        <v>1</v>
      </c>
      <c r="W98" s="67" t="b">
        <f t="shared" si="7"/>
        <v>1</v>
      </c>
      <c r="X98" s="67" t="b">
        <f t="shared" si="8"/>
        <v>1</v>
      </c>
      <c r="Y98" s="75" t="str">
        <f t="shared" si="9"/>
        <v>✅ PASS</v>
      </c>
    </row>
    <row r="99" spans="1:25" ht="15" customHeight="1" x14ac:dyDescent="0.25">
      <c r="A99" s="76"/>
      <c r="B99" s="37" t="s">
        <v>132</v>
      </c>
      <c r="C99" s="37" t="s">
        <v>64</v>
      </c>
      <c r="D99" s="37" t="s">
        <v>62</v>
      </c>
      <c r="E99" s="37" t="s">
        <v>75</v>
      </c>
      <c r="F99" s="37" t="s">
        <v>63</v>
      </c>
      <c r="G99" s="77">
        <v>214</v>
      </c>
      <c r="H99" s="78">
        <v>889.46</v>
      </c>
      <c r="I99" s="78">
        <v>190344.16</v>
      </c>
      <c r="J99" s="79">
        <v>2.1100000000000001E-2</v>
      </c>
      <c r="K99" s="78">
        <v>186330.66</v>
      </c>
      <c r="L99" s="78">
        <v>14635.88</v>
      </c>
      <c r="M99" s="78">
        <v>200966.54</v>
      </c>
      <c r="N99" s="78">
        <v>2235967.9500000002</v>
      </c>
      <c r="O99" s="78">
        <v>186330.66</v>
      </c>
      <c r="P99" s="37" t="s">
        <v>262</v>
      </c>
      <c r="Q99" s="80">
        <v>45597</v>
      </c>
      <c r="R99" s="37">
        <v>2024</v>
      </c>
      <c r="S99" s="37">
        <v>11</v>
      </c>
      <c r="T99" s="3"/>
      <c r="U99" s="68" t="b">
        <f t="shared" si="5"/>
        <v>1</v>
      </c>
      <c r="V99" s="68" t="b">
        <f t="shared" si="6"/>
        <v>1</v>
      </c>
      <c r="W99" s="68" t="b">
        <f t="shared" si="7"/>
        <v>1</v>
      </c>
      <c r="X99" s="68" t="b">
        <f t="shared" si="8"/>
        <v>1</v>
      </c>
      <c r="Y99" s="69" t="str">
        <f t="shared" si="9"/>
        <v>✅ PASS</v>
      </c>
    </row>
    <row r="100" spans="1:25" ht="15" customHeight="1" x14ac:dyDescent="0.25">
      <c r="A100" s="70"/>
      <c r="B100" s="33" t="s">
        <v>132</v>
      </c>
      <c r="C100" s="33" t="s">
        <v>64</v>
      </c>
      <c r="D100" s="33" t="s">
        <v>68</v>
      </c>
      <c r="E100" s="33" t="s">
        <v>75</v>
      </c>
      <c r="F100" s="33" t="s">
        <v>69</v>
      </c>
      <c r="G100" s="71">
        <v>257</v>
      </c>
      <c r="H100" s="72">
        <v>275.26</v>
      </c>
      <c r="I100" s="72">
        <v>70741.100000000006</v>
      </c>
      <c r="J100" s="73">
        <v>3.7900000000000003E-2</v>
      </c>
      <c r="K100" s="72">
        <v>68056.73</v>
      </c>
      <c r="L100" s="72">
        <v>3686.16</v>
      </c>
      <c r="M100" s="72">
        <v>71742.89</v>
      </c>
      <c r="N100" s="72">
        <v>816680.77</v>
      </c>
      <c r="O100" s="72">
        <v>68056.73</v>
      </c>
      <c r="P100" s="33" t="s">
        <v>262</v>
      </c>
      <c r="Q100" s="74">
        <v>45597</v>
      </c>
      <c r="R100" s="33">
        <v>2024</v>
      </c>
      <c r="S100" s="33">
        <v>11</v>
      </c>
      <c r="T100" s="3"/>
      <c r="U100" s="67" t="b">
        <f t="shared" si="5"/>
        <v>1</v>
      </c>
      <c r="V100" s="67" t="b">
        <f t="shared" si="6"/>
        <v>1</v>
      </c>
      <c r="W100" s="67" t="b">
        <f t="shared" si="7"/>
        <v>1</v>
      </c>
      <c r="X100" s="67" t="b">
        <f t="shared" si="8"/>
        <v>1</v>
      </c>
      <c r="Y100" s="75" t="str">
        <f t="shared" si="9"/>
        <v>✅ PASS</v>
      </c>
    </row>
    <row r="101" spans="1:25" ht="15" customHeight="1" x14ac:dyDescent="0.25">
      <c r="A101" s="76"/>
      <c r="B101" s="37" t="s">
        <v>133</v>
      </c>
      <c r="C101" s="37" t="s">
        <v>61</v>
      </c>
      <c r="D101" s="37" t="s">
        <v>65</v>
      </c>
      <c r="E101" s="37" t="s">
        <v>75</v>
      </c>
      <c r="F101" s="37" t="s">
        <v>63</v>
      </c>
      <c r="G101" s="77">
        <v>220</v>
      </c>
      <c r="H101" s="78">
        <v>866.49</v>
      </c>
      <c r="I101" s="78">
        <v>190627.23</v>
      </c>
      <c r="J101" s="79">
        <v>5.7999999999999996E-3</v>
      </c>
      <c r="K101" s="78">
        <v>189514.39</v>
      </c>
      <c r="L101" s="78">
        <v>-13244.14</v>
      </c>
      <c r="M101" s="78">
        <v>176270.25</v>
      </c>
      <c r="N101" s="78">
        <v>2274172.71</v>
      </c>
      <c r="O101" s="78">
        <v>189514.39</v>
      </c>
      <c r="P101" s="37" t="s">
        <v>262</v>
      </c>
      <c r="Q101" s="80">
        <v>45627</v>
      </c>
      <c r="R101" s="37">
        <v>2024</v>
      </c>
      <c r="S101" s="37">
        <v>12</v>
      </c>
      <c r="T101" s="3"/>
      <c r="U101" s="68" t="b">
        <f t="shared" si="5"/>
        <v>1</v>
      </c>
      <c r="V101" s="68" t="b">
        <f t="shared" si="6"/>
        <v>1</v>
      </c>
      <c r="W101" s="68" t="b">
        <f t="shared" si="7"/>
        <v>1</v>
      </c>
      <c r="X101" s="68" t="b">
        <f t="shared" si="8"/>
        <v>1</v>
      </c>
      <c r="Y101" s="69" t="str">
        <f t="shared" si="9"/>
        <v>✅ PASS</v>
      </c>
    </row>
    <row r="102" spans="1:25" ht="15" customHeight="1" x14ac:dyDescent="0.25">
      <c r="A102" s="70"/>
      <c r="B102" s="33" t="s">
        <v>133</v>
      </c>
      <c r="C102" s="33" t="s">
        <v>61</v>
      </c>
      <c r="D102" s="33" t="s">
        <v>62</v>
      </c>
      <c r="E102" s="33" t="s">
        <v>78</v>
      </c>
      <c r="F102" s="33" t="s">
        <v>69</v>
      </c>
      <c r="G102" s="71">
        <v>264</v>
      </c>
      <c r="H102" s="72">
        <v>1182.28</v>
      </c>
      <c r="I102" s="72">
        <v>312120.89</v>
      </c>
      <c r="J102" s="81">
        <v>0.24099999999999999</v>
      </c>
      <c r="K102" s="72">
        <v>236909.82</v>
      </c>
      <c r="L102" s="72">
        <v>-81.53</v>
      </c>
      <c r="M102" s="72">
        <v>236828.29</v>
      </c>
      <c r="N102" s="72">
        <v>2842917.83</v>
      </c>
      <c r="O102" s="72">
        <v>236909.82</v>
      </c>
      <c r="P102" s="33" t="s">
        <v>262</v>
      </c>
      <c r="Q102" s="74">
        <v>45627</v>
      </c>
      <c r="R102" s="33">
        <v>2024</v>
      </c>
      <c r="S102" s="33">
        <v>12</v>
      </c>
      <c r="T102" s="3"/>
      <c r="U102" s="67" t="b">
        <f t="shared" si="5"/>
        <v>1</v>
      </c>
      <c r="V102" s="67" t="b">
        <f t="shared" si="6"/>
        <v>1</v>
      </c>
      <c r="W102" s="67" t="b">
        <f t="shared" si="7"/>
        <v>1</v>
      </c>
      <c r="X102" s="67" t="b">
        <f t="shared" si="8"/>
        <v>1</v>
      </c>
      <c r="Y102" s="75" t="str">
        <f t="shared" si="9"/>
        <v>✅ PASS</v>
      </c>
    </row>
    <row r="103" spans="1:25" ht="15" customHeight="1" x14ac:dyDescent="0.25">
      <c r="A103" s="76"/>
      <c r="B103" s="37" t="s">
        <v>133</v>
      </c>
      <c r="C103" s="37" t="s">
        <v>61</v>
      </c>
      <c r="D103" s="37" t="s">
        <v>68</v>
      </c>
      <c r="E103" s="37" t="s">
        <v>78</v>
      </c>
      <c r="F103" s="37" t="s">
        <v>63</v>
      </c>
      <c r="G103" s="77">
        <v>284</v>
      </c>
      <c r="H103" s="78">
        <v>222.68</v>
      </c>
      <c r="I103" s="78">
        <v>63239.78</v>
      </c>
      <c r="J103" s="79">
        <v>8.5000000000000006E-3</v>
      </c>
      <c r="K103" s="78">
        <v>62705.05</v>
      </c>
      <c r="L103" s="78">
        <v>-756.45</v>
      </c>
      <c r="M103" s="78">
        <v>61948.6</v>
      </c>
      <c r="N103" s="78">
        <v>752460.58</v>
      </c>
      <c r="O103" s="78">
        <v>62705.05</v>
      </c>
      <c r="P103" s="37" t="s">
        <v>262</v>
      </c>
      <c r="Q103" s="80">
        <v>45627</v>
      </c>
      <c r="R103" s="37">
        <v>2024</v>
      </c>
      <c r="S103" s="37">
        <v>12</v>
      </c>
      <c r="T103" s="3"/>
      <c r="U103" s="68" t="b">
        <f t="shared" si="5"/>
        <v>1</v>
      </c>
      <c r="V103" s="68" t="b">
        <f t="shared" si="6"/>
        <v>1</v>
      </c>
      <c r="W103" s="68" t="b">
        <f t="shared" si="7"/>
        <v>1</v>
      </c>
      <c r="X103" s="68" t="b">
        <f t="shared" si="8"/>
        <v>1</v>
      </c>
      <c r="Y103" s="69" t="str">
        <f t="shared" si="9"/>
        <v>✅ PASS</v>
      </c>
    </row>
    <row r="104" spans="1:25" ht="15" customHeight="1" x14ac:dyDescent="0.25">
      <c r="A104" s="70"/>
      <c r="B104" s="33" t="s">
        <v>133</v>
      </c>
      <c r="C104" s="33" t="s">
        <v>67</v>
      </c>
      <c r="D104" s="33" t="s">
        <v>65</v>
      </c>
      <c r="E104" s="33" t="s">
        <v>81</v>
      </c>
      <c r="F104" s="33" t="s">
        <v>69</v>
      </c>
      <c r="G104" s="71">
        <v>207</v>
      </c>
      <c r="H104" s="72">
        <v>803.49</v>
      </c>
      <c r="I104" s="72">
        <v>166323.16</v>
      </c>
      <c r="J104" s="81">
        <v>0.18279999999999999</v>
      </c>
      <c r="K104" s="72">
        <v>135922.38</v>
      </c>
      <c r="L104" s="72">
        <v>12011.6</v>
      </c>
      <c r="M104" s="72">
        <v>147933.98000000001</v>
      </c>
      <c r="N104" s="72">
        <v>1631068.54</v>
      </c>
      <c r="O104" s="72">
        <v>135922.38</v>
      </c>
      <c r="P104" s="33" t="s">
        <v>262</v>
      </c>
      <c r="Q104" s="74">
        <v>45627</v>
      </c>
      <c r="R104" s="33">
        <v>2024</v>
      </c>
      <c r="S104" s="33">
        <v>12</v>
      </c>
      <c r="T104" s="3"/>
      <c r="U104" s="67" t="b">
        <f t="shared" si="5"/>
        <v>1</v>
      </c>
      <c r="V104" s="67" t="b">
        <f t="shared" si="6"/>
        <v>1</v>
      </c>
      <c r="W104" s="67" t="b">
        <f t="shared" si="7"/>
        <v>1</v>
      </c>
      <c r="X104" s="67" t="b">
        <f t="shared" si="8"/>
        <v>1</v>
      </c>
      <c r="Y104" s="75" t="str">
        <f t="shared" si="9"/>
        <v>✅ PASS</v>
      </c>
    </row>
    <row r="105" spans="1:25" ht="15" customHeight="1" x14ac:dyDescent="0.25">
      <c r="A105" s="76"/>
      <c r="B105" s="37" t="s">
        <v>133</v>
      </c>
      <c r="C105" s="37" t="s">
        <v>67</v>
      </c>
      <c r="D105" s="37" t="s">
        <v>62</v>
      </c>
      <c r="E105" s="37" t="s">
        <v>78</v>
      </c>
      <c r="F105" s="37" t="s">
        <v>66</v>
      </c>
      <c r="G105" s="77">
        <v>254</v>
      </c>
      <c r="H105" s="78">
        <v>383.55</v>
      </c>
      <c r="I105" s="78">
        <v>97421.37</v>
      </c>
      <c r="J105" s="79">
        <v>6.8599999999999994E-2</v>
      </c>
      <c r="K105" s="78">
        <v>90738.35</v>
      </c>
      <c r="L105" s="78">
        <v>-406.07</v>
      </c>
      <c r="M105" s="78">
        <v>90332.27</v>
      </c>
      <c r="N105" s="78">
        <v>1088860.1599999999</v>
      </c>
      <c r="O105" s="78">
        <v>90738.35</v>
      </c>
      <c r="P105" s="37" t="s">
        <v>262</v>
      </c>
      <c r="Q105" s="80">
        <v>45627</v>
      </c>
      <c r="R105" s="37">
        <v>2024</v>
      </c>
      <c r="S105" s="37">
        <v>12</v>
      </c>
      <c r="T105" s="3"/>
      <c r="U105" s="68" t="b">
        <f t="shared" si="5"/>
        <v>1</v>
      </c>
      <c r="V105" s="68" t="b">
        <f t="shared" si="6"/>
        <v>1</v>
      </c>
      <c r="W105" s="68" t="b">
        <f t="shared" si="7"/>
        <v>1</v>
      </c>
      <c r="X105" s="68" t="b">
        <f t="shared" si="8"/>
        <v>1</v>
      </c>
      <c r="Y105" s="69" t="str">
        <f t="shared" si="9"/>
        <v>✅ PASS</v>
      </c>
    </row>
    <row r="106" spans="1:25" ht="15" customHeight="1" x14ac:dyDescent="0.25">
      <c r="A106" s="70"/>
      <c r="B106" s="33" t="s">
        <v>133</v>
      </c>
      <c r="C106" s="33" t="s">
        <v>67</v>
      </c>
      <c r="D106" s="33" t="s">
        <v>68</v>
      </c>
      <c r="E106" s="33" t="s">
        <v>78</v>
      </c>
      <c r="F106" s="33" t="s">
        <v>63</v>
      </c>
      <c r="G106" s="71">
        <v>120</v>
      </c>
      <c r="H106" s="72">
        <v>301.02</v>
      </c>
      <c r="I106" s="72">
        <v>36121.96</v>
      </c>
      <c r="J106" s="81">
        <v>0.15310000000000001</v>
      </c>
      <c r="K106" s="72">
        <v>30591.38</v>
      </c>
      <c r="L106" s="72">
        <v>877.21</v>
      </c>
      <c r="M106" s="72">
        <v>31468.58</v>
      </c>
      <c r="N106" s="72">
        <v>367096.51</v>
      </c>
      <c r="O106" s="72">
        <v>30591.38</v>
      </c>
      <c r="P106" s="33" t="s">
        <v>262</v>
      </c>
      <c r="Q106" s="74">
        <v>45627</v>
      </c>
      <c r="R106" s="33">
        <v>2024</v>
      </c>
      <c r="S106" s="33">
        <v>12</v>
      </c>
      <c r="T106" s="3"/>
      <c r="U106" s="67" t="b">
        <f t="shared" si="5"/>
        <v>1</v>
      </c>
      <c r="V106" s="67" t="b">
        <f t="shared" si="6"/>
        <v>1</v>
      </c>
      <c r="W106" s="67" t="b">
        <f t="shared" si="7"/>
        <v>1</v>
      </c>
      <c r="X106" s="67" t="b">
        <f t="shared" si="8"/>
        <v>1</v>
      </c>
      <c r="Y106" s="75" t="str">
        <f t="shared" si="9"/>
        <v>✅ PASS</v>
      </c>
    </row>
    <row r="107" spans="1:25" ht="15" customHeight="1" x14ac:dyDescent="0.25">
      <c r="A107" s="76"/>
      <c r="B107" s="37" t="s">
        <v>133</v>
      </c>
      <c r="C107" s="37" t="s">
        <v>64</v>
      </c>
      <c r="D107" s="37" t="s">
        <v>65</v>
      </c>
      <c r="E107" s="37" t="s">
        <v>78</v>
      </c>
      <c r="F107" s="37" t="s">
        <v>66</v>
      </c>
      <c r="G107" s="77">
        <v>257</v>
      </c>
      <c r="H107" s="78">
        <v>499.83</v>
      </c>
      <c r="I107" s="78">
        <v>128455.16</v>
      </c>
      <c r="J107" s="79">
        <v>4.3900000000000002E-2</v>
      </c>
      <c r="K107" s="78">
        <v>122818.1</v>
      </c>
      <c r="L107" s="78">
        <v>1970.18</v>
      </c>
      <c r="M107" s="78">
        <v>124788.27</v>
      </c>
      <c r="N107" s="78">
        <v>1473817.17</v>
      </c>
      <c r="O107" s="78">
        <v>122818.1</v>
      </c>
      <c r="P107" s="37" t="s">
        <v>262</v>
      </c>
      <c r="Q107" s="80">
        <v>45627</v>
      </c>
      <c r="R107" s="37">
        <v>2024</v>
      </c>
      <c r="S107" s="37">
        <v>12</v>
      </c>
      <c r="T107" s="3"/>
      <c r="U107" s="68" t="b">
        <f t="shared" si="5"/>
        <v>1</v>
      </c>
      <c r="V107" s="68" t="b">
        <f t="shared" si="6"/>
        <v>1</v>
      </c>
      <c r="W107" s="68" t="b">
        <f t="shared" si="7"/>
        <v>1</v>
      </c>
      <c r="X107" s="68" t="b">
        <f t="shared" si="8"/>
        <v>1</v>
      </c>
      <c r="Y107" s="69" t="str">
        <f t="shared" si="9"/>
        <v>✅ PASS</v>
      </c>
    </row>
    <row r="108" spans="1:25" ht="15" customHeight="1" x14ac:dyDescent="0.25">
      <c r="A108" s="70"/>
      <c r="B108" s="33" t="s">
        <v>133</v>
      </c>
      <c r="C108" s="33" t="s">
        <v>64</v>
      </c>
      <c r="D108" s="33" t="s">
        <v>62</v>
      </c>
      <c r="E108" s="33" t="s">
        <v>81</v>
      </c>
      <c r="F108" s="33" t="s">
        <v>63</v>
      </c>
      <c r="G108" s="71">
        <v>254</v>
      </c>
      <c r="H108" s="72">
        <v>679.67</v>
      </c>
      <c r="I108" s="72">
        <v>172635.97</v>
      </c>
      <c r="J108" s="73">
        <v>1.6299999999999999E-2</v>
      </c>
      <c r="K108" s="72">
        <v>169827.39</v>
      </c>
      <c r="L108" s="72">
        <v>14328.73</v>
      </c>
      <c r="M108" s="72">
        <v>184156.11</v>
      </c>
      <c r="N108" s="72">
        <v>2037928.66</v>
      </c>
      <c r="O108" s="72">
        <v>169827.39</v>
      </c>
      <c r="P108" s="33" t="s">
        <v>262</v>
      </c>
      <c r="Q108" s="74">
        <v>45627</v>
      </c>
      <c r="R108" s="33">
        <v>2024</v>
      </c>
      <c r="S108" s="33">
        <v>12</v>
      </c>
      <c r="T108" s="3"/>
      <c r="U108" s="67" t="b">
        <f t="shared" si="5"/>
        <v>1</v>
      </c>
      <c r="V108" s="67" t="b">
        <f t="shared" si="6"/>
        <v>1</v>
      </c>
      <c r="W108" s="67" t="b">
        <f t="shared" si="7"/>
        <v>1</v>
      </c>
      <c r="X108" s="67" t="b">
        <f t="shared" si="8"/>
        <v>1</v>
      </c>
      <c r="Y108" s="75" t="str">
        <f t="shared" si="9"/>
        <v>✅ PASS</v>
      </c>
    </row>
    <row r="109" spans="1:25" ht="15" customHeight="1" x14ac:dyDescent="0.25">
      <c r="A109" s="76"/>
      <c r="B109" s="37" t="s">
        <v>133</v>
      </c>
      <c r="C109" s="37" t="s">
        <v>64</v>
      </c>
      <c r="D109" s="37" t="s">
        <v>68</v>
      </c>
      <c r="E109" s="37" t="s">
        <v>81</v>
      </c>
      <c r="F109" s="37" t="s">
        <v>69</v>
      </c>
      <c r="G109" s="77">
        <v>133</v>
      </c>
      <c r="H109" s="78">
        <v>610.04999999999995</v>
      </c>
      <c r="I109" s="78">
        <v>81136.05</v>
      </c>
      <c r="J109" s="82">
        <v>0.19009999999999999</v>
      </c>
      <c r="K109" s="78">
        <v>65709.5</v>
      </c>
      <c r="L109" s="78">
        <v>-1120.5899999999999</v>
      </c>
      <c r="M109" s="78">
        <v>64588.91</v>
      </c>
      <c r="N109" s="78">
        <v>788513.99</v>
      </c>
      <c r="O109" s="78">
        <v>65709.5</v>
      </c>
      <c r="P109" s="37" t="s">
        <v>262</v>
      </c>
      <c r="Q109" s="80">
        <v>45627</v>
      </c>
      <c r="R109" s="37">
        <v>2024</v>
      </c>
      <c r="S109" s="37">
        <v>12</v>
      </c>
      <c r="T109" s="3"/>
      <c r="U109" s="68" t="b">
        <f t="shared" si="5"/>
        <v>1</v>
      </c>
      <c r="V109" s="68" t="b">
        <f t="shared" si="6"/>
        <v>1</v>
      </c>
      <c r="W109" s="68" t="b">
        <f t="shared" si="7"/>
        <v>1</v>
      </c>
      <c r="X109" s="68" t="b">
        <f t="shared" si="8"/>
        <v>1</v>
      </c>
      <c r="Y109" s="69" t="str">
        <f t="shared" si="9"/>
        <v>✅ PASS</v>
      </c>
    </row>
    <row r="110" spans="1:25" ht="15" customHeight="1" x14ac:dyDescent="0.25">
      <c r="A110" s="70"/>
      <c r="B110" s="33" t="s">
        <v>134</v>
      </c>
      <c r="C110" s="33" t="s">
        <v>61</v>
      </c>
      <c r="D110" s="33" t="s">
        <v>65</v>
      </c>
      <c r="E110" s="33" t="s">
        <v>78</v>
      </c>
      <c r="F110" s="33" t="s">
        <v>66</v>
      </c>
      <c r="G110" s="71">
        <v>228</v>
      </c>
      <c r="H110" s="72">
        <v>617.96</v>
      </c>
      <c r="I110" s="72">
        <v>140894.6</v>
      </c>
      <c r="J110" s="73">
        <v>5.0700000000000002E-2</v>
      </c>
      <c r="K110" s="72">
        <v>133751.35</v>
      </c>
      <c r="L110" s="72">
        <v>-10792.69</v>
      </c>
      <c r="M110" s="72">
        <v>122958.67</v>
      </c>
      <c r="N110" s="72">
        <v>1605016.26</v>
      </c>
      <c r="O110" s="72">
        <v>133751.35</v>
      </c>
      <c r="P110" s="33" t="s">
        <v>262</v>
      </c>
      <c r="Q110" s="74">
        <v>45658</v>
      </c>
      <c r="R110" s="33">
        <v>2025</v>
      </c>
      <c r="S110" s="33">
        <v>1</v>
      </c>
      <c r="T110" s="3"/>
      <c r="U110" s="67" t="b">
        <f t="shared" si="5"/>
        <v>1</v>
      </c>
      <c r="V110" s="67" t="b">
        <f t="shared" si="6"/>
        <v>1</v>
      </c>
      <c r="W110" s="67" t="b">
        <f t="shared" si="7"/>
        <v>1</v>
      </c>
      <c r="X110" s="67" t="b">
        <f t="shared" si="8"/>
        <v>1</v>
      </c>
      <c r="Y110" s="75" t="str">
        <f t="shared" si="9"/>
        <v>✅ PASS</v>
      </c>
    </row>
    <row r="111" spans="1:25" ht="15" customHeight="1" x14ac:dyDescent="0.25">
      <c r="A111" s="76"/>
      <c r="B111" s="37" t="s">
        <v>134</v>
      </c>
      <c r="C111" s="37" t="s">
        <v>61</v>
      </c>
      <c r="D111" s="37" t="s">
        <v>62</v>
      </c>
      <c r="E111" s="37" t="s">
        <v>81</v>
      </c>
      <c r="F111" s="37" t="s">
        <v>69</v>
      </c>
      <c r="G111" s="77">
        <v>201</v>
      </c>
      <c r="H111" s="78">
        <v>1165.22</v>
      </c>
      <c r="I111" s="78">
        <v>234208.92</v>
      </c>
      <c r="J111" s="79">
        <v>1.11E-2</v>
      </c>
      <c r="K111" s="78">
        <v>231602.56</v>
      </c>
      <c r="L111" s="78">
        <v>25783.1</v>
      </c>
      <c r="M111" s="78">
        <v>257385.66</v>
      </c>
      <c r="N111" s="78">
        <v>2779230.73</v>
      </c>
      <c r="O111" s="78">
        <v>231602.56</v>
      </c>
      <c r="P111" s="37" t="s">
        <v>262</v>
      </c>
      <c r="Q111" s="80">
        <v>45658</v>
      </c>
      <c r="R111" s="37">
        <v>2025</v>
      </c>
      <c r="S111" s="37">
        <v>1</v>
      </c>
      <c r="T111" s="3"/>
      <c r="U111" s="68" t="b">
        <f t="shared" si="5"/>
        <v>1</v>
      </c>
      <c r="V111" s="68" t="b">
        <f t="shared" si="6"/>
        <v>1</v>
      </c>
      <c r="W111" s="68" t="b">
        <f t="shared" si="7"/>
        <v>1</v>
      </c>
      <c r="X111" s="68" t="b">
        <f t="shared" si="8"/>
        <v>1</v>
      </c>
      <c r="Y111" s="69" t="str">
        <f t="shared" si="9"/>
        <v>✅ PASS</v>
      </c>
    </row>
    <row r="112" spans="1:25" ht="15" customHeight="1" x14ac:dyDescent="0.25">
      <c r="A112" s="70"/>
      <c r="B112" s="33" t="s">
        <v>134</v>
      </c>
      <c r="C112" s="33" t="s">
        <v>61</v>
      </c>
      <c r="D112" s="33" t="s">
        <v>68</v>
      </c>
      <c r="E112" s="33" t="s">
        <v>75</v>
      </c>
      <c r="F112" s="33" t="s">
        <v>63</v>
      </c>
      <c r="G112" s="71">
        <v>197</v>
      </c>
      <c r="H112" s="72">
        <v>829.83</v>
      </c>
      <c r="I112" s="72">
        <v>163475.95000000001</v>
      </c>
      <c r="J112" s="81">
        <v>0.20619999999999999</v>
      </c>
      <c r="K112" s="72">
        <v>129773.16</v>
      </c>
      <c r="L112" s="72">
        <v>18513.349999999999</v>
      </c>
      <c r="M112" s="72">
        <v>148286.51</v>
      </c>
      <c r="N112" s="72">
        <v>1557277.89</v>
      </c>
      <c r="O112" s="72">
        <v>129773.16</v>
      </c>
      <c r="P112" s="33" t="s">
        <v>262</v>
      </c>
      <c r="Q112" s="74">
        <v>45658</v>
      </c>
      <c r="R112" s="33">
        <v>2025</v>
      </c>
      <c r="S112" s="33">
        <v>1</v>
      </c>
      <c r="T112" s="3"/>
      <c r="U112" s="67" t="b">
        <f t="shared" si="5"/>
        <v>1</v>
      </c>
      <c r="V112" s="67" t="b">
        <f t="shared" si="6"/>
        <v>1</v>
      </c>
      <c r="W112" s="67" t="b">
        <f t="shared" si="7"/>
        <v>1</v>
      </c>
      <c r="X112" s="67" t="b">
        <f t="shared" si="8"/>
        <v>1</v>
      </c>
      <c r="Y112" s="75" t="str">
        <f t="shared" si="9"/>
        <v>✅ PASS</v>
      </c>
    </row>
    <row r="113" spans="1:25" ht="15" customHeight="1" x14ac:dyDescent="0.25">
      <c r="A113" s="76"/>
      <c r="B113" s="37" t="s">
        <v>134</v>
      </c>
      <c r="C113" s="37" t="s">
        <v>67</v>
      </c>
      <c r="D113" s="37" t="s">
        <v>65</v>
      </c>
      <c r="E113" s="37" t="s">
        <v>75</v>
      </c>
      <c r="F113" s="37" t="s">
        <v>63</v>
      </c>
      <c r="G113" s="77">
        <v>210</v>
      </c>
      <c r="H113" s="78">
        <v>682.63</v>
      </c>
      <c r="I113" s="78">
        <v>143353.31</v>
      </c>
      <c r="J113" s="82">
        <v>0.16289999999999999</v>
      </c>
      <c r="K113" s="78">
        <v>119997.61</v>
      </c>
      <c r="L113" s="78">
        <v>1623.71</v>
      </c>
      <c r="M113" s="78">
        <v>121621.32</v>
      </c>
      <c r="N113" s="78">
        <v>1439971.3</v>
      </c>
      <c r="O113" s="78">
        <v>119997.61</v>
      </c>
      <c r="P113" s="37" t="s">
        <v>262</v>
      </c>
      <c r="Q113" s="80">
        <v>45658</v>
      </c>
      <c r="R113" s="37">
        <v>2025</v>
      </c>
      <c r="S113" s="37">
        <v>1</v>
      </c>
      <c r="T113" s="3"/>
      <c r="U113" s="68" t="b">
        <f t="shared" si="5"/>
        <v>1</v>
      </c>
      <c r="V113" s="68" t="b">
        <f t="shared" si="6"/>
        <v>1</v>
      </c>
      <c r="W113" s="68" t="b">
        <f t="shared" si="7"/>
        <v>1</v>
      </c>
      <c r="X113" s="68" t="b">
        <f t="shared" si="8"/>
        <v>1</v>
      </c>
      <c r="Y113" s="69" t="str">
        <f t="shared" si="9"/>
        <v>✅ PASS</v>
      </c>
    </row>
    <row r="114" spans="1:25" ht="15" customHeight="1" x14ac:dyDescent="0.25">
      <c r="A114" s="70"/>
      <c r="B114" s="33" t="s">
        <v>134</v>
      </c>
      <c r="C114" s="33" t="s">
        <v>67</v>
      </c>
      <c r="D114" s="33" t="s">
        <v>62</v>
      </c>
      <c r="E114" s="33" t="s">
        <v>78</v>
      </c>
      <c r="F114" s="33" t="s">
        <v>63</v>
      </c>
      <c r="G114" s="71">
        <v>254</v>
      </c>
      <c r="H114" s="72">
        <v>529.4</v>
      </c>
      <c r="I114" s="72">
        <v>134466.46</v>
      </c>
      <c r="J114" s="81">
        <v>0.15210000000000001</v>
      </c>
      <c r="K114" s="72">
        <v>114010.78</v>
      </c>
      <c r="L114" s="72">
        <v>15605.97</v>
      </c>
      <c r="M114" s="72">
        <v>129616.75</v>
      </c>
      <c r="N114" s="72">
        <v>1368129.36</v>
      </c>
      <c r="O114" s="72">
        <v>114010.78</v>
      </c>
      <c r="P114" s="33" t="s">
        <v>262</v>
      </c>
      <c r="Q114" s="74">
        <v>45658</v>
      </c>
      <c r="R114" s="33">
        <v>2025</v>
      </c>
      <c r="S114" s="33">
        <v>1</v>
      </c>
      <c r="T114" s="3"/>
      <c r="U114" s="67" t="b">
        <f t="shared" si="5"/>
        <v>1</v>
      </c>
      <c r="V114" s="67" t="b">
        <f t="shared" si="6"/>
        <v>1</v>
      </c>
      <c r="W114" s="67" t="b">
        <f t="shared" si="7"/>
        <v>1</v>
      </c>
      <c r="X114" s="67" t="b">
        <f t="shared" si="8"/>
        <v>1</v>
      </c>
      <c r="Y114" s="75" t="str">
        <f t="shared" si="9"/>
        <v>✅ PASS</v>
      </c>
    </row>
    <row r="115" spans="1:25" ht="15" customHeight="1" x14ac:dyDescent="0.25">
      <c r="A115" s="76"/>
      <c r="B115" s="37" t="s">
        <v>134</v>
      </c>
      <c r="C115" s="37" t="s">
        <v>67</v>
      </c>
      <c r="D115" s="37" t="s">
        <v>68</v>
      </c>
      <c r="E115" s="37" t="s">
        <v>78</v>
      </c>
      <c r="F115" s="37" t="s">
        <v>69</v>
      </c>
      <c r="G115" s="77">
        <v>59</v>
      </c>
      <c r="H115" s="78">
        <v>859.37</v>
      </c>
      <c r="I115" s="78">
        <v>50702.57</v>
      </c>
      <c r="J115" s="79">
        <v>8.8000000000000005E-3</v>
      </c>
      <c r="K115" s="78">
        <v>50256.88</v>
      </c>
      <c r="L115" s="78">
        <v>6406.49</v>
      </c>
      <c r="M115" s="78">
        <v>56663.37</v>
      </c>
      <c r="N115" s="78">
        <v>603082.56999999995</v>
      </c>
      <c r="O115" s="78">
        <v>50256.88</v>
      </c>
      <c r="P115" s="37" t="s">
        <v>262</v>
      </c>
      <c r="Q115" s="80">
        <v>45658</v>
      </c>
      <c r="R115" s="37">
        <v>2025</v>
      </c>
      <c r="S115" s="37">
        <v>1</v>
      </c>
      <c r="T115" s="3"/>
      <c r="U115" s="68" t="b">
        <f t="shared" si="5"/>
        <v>1</v>
      </c>
      <c r="V115" s="68" t="b">
        <f t="shared" si="6"/>
        <v>1</v>
      </c>
      <c r="W115" s="68" t="b">
        <f t="shared" si="7"/>
        <v>1</v>
      </c>
      <c r="X115" s="68" t="b">
        <f t="shared" si="8"/>
        <v>1</v>
      </c>
      <c r="Y115" s="69" t="str">
        <f t="shared" si="9"/>
        <v>✅ PASS</v>
      </c>
    </row>
    <row r="116" spans="1:25" ht="15" customHeight="1" x14ac:dyDescent="0.25">
      <c r="A116" s="70"/>
      <c r="B116" s="33" t="s">
        <v>134</v>
      </c>
      <c r="C116" s="33" t="s">
        <v>64</v>
      </c>
      <c r="D116" s="33" t="s">
        <v>65</v>
      </c>
      <c r="E116" s="33" t="s">
        <v>78</v>
      </c>
      <c r="F116" s="33" t="s">
        <v>69</v>
      </c>
      <c r="G116" s="71">
        <v>161</v>
      </c>
      <c r="H116" s="72">
        <v>923.84</v>
      </c>
      <c r="I116" s="72">
        <v>148738.01999999999</v>
      </c>
      <c r="J116" s="81">
        <v>0.1573</v>
      </c>
      <c r="K116" s="72">
        <v>125342.39</v>
      </c>
      <c r="L116" s="72">
        <v>6387.54</v>
      </c>
      <c r="M116" s="72">
        <v>131729.94</v>
      </c>
      <c r="N116" s="72">
        <v>1504108.7</v>
      </c>
      <c r="O116" s="72">
        <v>125342.39</v>
      </c>
      <c r="P116" s="33" t="s">
        <v>262</v>
      </c>
      <c r="Q116" s="74">
        <v>45658</v>
      </c>
      <c r="R116" s="33">
        <v>2025</v>
      </c>
      <c r="S116" s="33">
        <v>1</v>
      </c>
      <c r="T116" s="3"/>
      <c r="U116" s="67" t="b">
        <f t="shared" si="5"/>
        <v>1</v>
      </c>
      <c r="V116" s="67" t="b">
        <f t="shared" si="6"/>
        <v>1</v>
      </c>
      <c r="W116" s="67" t="b">
        <f t="shared" si="7"/>
        <v>1</v>
      </c>
      <c r="X116" s="67" t="b">
        <f t="shared" si="8"/>
        <v>1</v>
      </c>
      <c r="Y116" s="75" t="str">
        <f t="shared" si="9"/>
        <v>✅ PASS</v>
      </c>
    </row>
    <row r="117" spans="1:25" ht="15" customHeight="1" x14ac:dyDescent="0.25">
      <c r="A117" s="76"/>
      <c r="B117" s="37" t="s">
        <v>134</v>
      </c>
      <c r="C117" s="37" t="s">
        <v>64</v>
      </c>
      <c r="D117" s="37" t="s">
        <v>62</v>
      </c>
      <c r="E117" s="37" t="s">
        <v>81</v>
      </c>
      <c r="F117" s="37" t="s">
        <v>66</v>
      </c>
      <c r="G117" s="77">
        <v>98</v>
      </c>
      <c r="H117" s="78">
        <v>688.08</v>
      </c>
      <c r="I117" s="78">
        <v>67432.149999999994</v>
      </c>
      <c r="J117" s="82">
        <v>0.156</v>
      </c>
      <c r="K117" s="78">
        <v>56912.28</v>
      </c>
      <c r="L117" s="78">
        <v>4737.8900000000003</v>
      </c>
      <c r="M117" s="78">
        <v>61650.17</v>
      </c>
      <c r="N117" s="78">
        <v>682947.31</v>
      </c>
      <c r="O117" s="78">
        <v>56912.28</v>
      </c>
      <c r="P117" s="37" t="s">
        <v>262</v>
      </c>
      <c r="Q117" s="80">
        <v>45658</v>
      </c>
      <c r="R117" s="37">
        <v>2025</v>
      </c>
      <c r="S117" s="37">
        <v>1</v>
      </c>
      <c r="T117" s="3"/>
      <c r="U117" s="68" t="b">
        <f t="shared" si="5"/>
        <v>1</v>
      </c>
      <c r="V117" s="68" t="b">
        <f t="shared" si="6"/>
        <v>1</v>
      </c>
      <c r="W117" s="68" t="b">
        <f t="shared" si="7"/>
        <v>1</v>
      </c>
      <c r="X117" s="68" t="b">
        <f t="shared" si="8"/>
        <v>1</v>
      </c>
      <c r="Y117" s="69" t="str">
        <f t="shared" si="9"/>
        <v>✅ PASS</v>
      </c>
    </row>
    <row r="118" spans="1:25" ht="15" customHeight="1" x14ac:dyDescent="0.25">
      <c r="A118" s="70"/>
      <c r="B118" s="33" t="s">
        <v>134</v>
      </c>
      <c r="C118" s="33" t="s">
        <v>64</v>
      </c>
      <c r="D118" s="33" t="s">
        <v>68</v>
      </c>
      <c r="E118" s="33" t="s">
        <v>78</v>
      </c>
      <c r="F118" s="33" t="s">
        <v>66</v>
      </c>
      <c r="G118" s="71">
        <v>149</v>
      </c>
      <c r="H118" s="72">
        <v>780.18</v>
      </c>
      <c r="I118" s="72">
        <v>116246.78</v>
      </c>
      <c r="J118" s="81">
        <v>0.22770000000000001</v>
      </c>
      <c r="K118" s="72">
        <v>89772.35</v>
      </c>
      <c r="L118" s="72">
        <v>5975.19</v>
      </c>
      <c r="M118" s="72">
        <v>95747.54</v>
      </c>
      <c r="N118" s="72">
        <v>1077268.23</v>
      </c>
      <c r="O118" s="72">
        <v>89772.35</v>
      </c>
      <c r="P118" s="33" t="s">
        <v>262</v>
      </c>
      <c r="Q118" s="74">
        <v>45658</v>
      </c>
      <c r="R118" s="33">
        <v>2025</v>
      </c>
      <c r="S118" s="33">
        <v>1</v>
      </c>
      <c r="T118" s="3"/>
      <c r="U118" s="67" t="b">
        <f t="shared" si="5"/>
        <v>1</v>
      </c>
      <c r="V118" s="67" t="b">
        <f t="shared" si="6"/>
        <v>1</v>
      </c>
      <c r="W118" s="67" t="b">
        <f t="shared" si="7"/>
        <v>1</v>
      </c>
      <c r="X118" s="67" t="b">
        <f t="shared" si="8"/>
        <v>1</v>
      </c>
      <c r="Y118" s="75" t="str">
        <f t="shared" si="9"/>
        <v>✅ PASS</v>
      </c>
    </row>
    <row r="119" spans="1:25" ht="15" customHeight="1" x14ac:dyDescent="0.25">
      <c r="A119" s="76"/>
      <c r="B119" s="37" t="s">
        <v>135</v>
      </c>
      <c r="C119" s="37" t="s">
        <v>61</v>
      </c>
      <c r="D119" s="37" t="s">
        <v>65</v>
      </c>
      <c r="E119" s="37" t="s">
        <v>81</v>
      </c>
      <c r="F119" s="37" t="s">
        <v>63</v>
      </c>
      <c r="G119" s="77">
        <v>104</v>
      </c>
      <c r="H119" s="78">
        <v>352.89</v>
      </c>
      <c r="I119" s="78">
        <v>36700.5</v>
      </c>
      <c r="J119" s="82">
        <v>0.20710000000000001</v>
      </c>
      <c r="K119" s="78">
        <v>29098.05</v>
      </c>
      <c r="L119" s="78">
        <v>2134.3000000000002</v>
      </c>
      <c r="M119" s="78">
        <v>31232.35</v>
      </c>
      <c r="N119" s="78">
        <v>349176.57</v>
      </c>
      <c r="O119" s="78">
        <v>29098.05</v>
      </c>
      <c r="P119" s="37" t="s">
        <v>262</v>
      </c>
      <c r="Q119" s="80">
        <v>45689</v>
      </c>
      <c r="R119" s="37">
        <v>2025</v>
      </c>
      <c r="S119" s="37">
        <v>2</v>
      </c>
      <c r="T119" s="3"/>
      <c r="U119" s="68" t="b">
        <f t="shared" si="5"/>
        <v>1</v>
      </c>
      <c r="V119" s="68" t="b">
        <f t="shared" si="6"/>
        <v>1</v>
      </c>
      <c r="W119" s="68" t="b">
        <f t="shared" si="7"/>
        <v>1</v>
      </c>
      <c r="X119" s="68" t="b">
        <f t="shared" si="8"/>
        <v>1</v>
      </c>
      <c r="Y119" s="69" t="str">
        <f t="shared" si="9"/>
        <v>✅ PASS</v>
      </c>
    </row>
    <row r="120" spans="1:25" ht="15" customHeight="1" x14ac:dyDescent="0.25">
      <c r="A120" s="70"/>
      <c r="B120" s="33" t="s">
        <v>135</v>
      </c>
      <c r="C120" s="33" t="s">
        <v>61</v>
      </c>
      <c r="D120" s="33" t="s">
        <v>62</v>
      </c>
      <c r="E120" s="33" t="s">
        <v>81</v>
      </c>
      <c r="F120" s="33" t="s">
        <v>63</v>
      </c>
      <c r="G120" s="71">
        <v>199</v>
      </c>
      <c r="H120" s="72">
        <v>243.1</v>
      </c>
      <c r="I120" s="72">
        <v>48376.9</v>
      </c>
      <c r="J120" s="81">
        <v>0.125</v>
      </c>
      <c r="K120" s="72">
        <v>42330.16</v>
      </c>
      <c r="L120" s="72">
        <v>-1528.65</v>
      </c>
      <c r="M120" s="72">
        <v>40801.51</v>
      </c>
      <c r="N120" s="72">
        <v>507961.93</v>
      </c>
      <c r="O120" s="72">
        <v>42330.16</v>
      </c>
      <c r="P120" s="33" t="s">
        <v>262</v>
      </c>
      <c r="Q120" s="74">
        <v>45689</v>
      </c>
      <c r="R120" s="33">
        <v>2025</v>
      </c>
      <c r="S120" s="33">
        <v>2</v>
      </c>
      <c r="T120" s="3"/>
      <c r="U120" s="67" t="b">
        <f t="shared" si="5"/>
        <v>1</v>
      </c>
      <c r="V120" s="67" t="b">
        <f t="shared" si="6"/>
        <v>1</v>
      </c>
      <c r="W120" s="67" t="b">
        <f t="shared" si="7"/>
        <v>1</v>
      </c>
      <c r="X120" s="67" t="b">
        <f t="shared" si="8"/>
        <v>1</v>
      </c>
      <c r="Y120" s="75" t="str">
        <f t="shared" si="9"/>
        <v>✅ PASS</v>
      </c>
    </row>
    <row r="121" spans="1:25" ht="15" customHeight="1" x14ac:dyDescent="0.25">
      <c r="A121" s="76"/>
      <c r="B121" s="37" t="s">
        <v>135</v>
      </c>
      <c r="C121" s="37" t="s">
        <v>61</v>
      </c>
      <c r="D121" s="37" t="s">
        <v>68</v>
      </c>
      <c r="E121" s="37" t="s">
        <v>75</v>
      </c>
      <c r="F121" s="37" t="s">
        <v>66</v>
      </c>
      <c r="G121" s="77">
        <v>178</v>
      </c>
      <c r="H121" s="78">
        <v>1131.83</v>
      </c>
      <c r="I121" s="78">
        <v>201466.59</v>
      </c>
      <c r="J121" s="82">
        <v>0.2324</v>
      </c>
      <c r="K121" s="78">
        <v>154655.48000000001</v>
      </c>
      <c r="L121" s="78">
        <v>-5920.45</v>
      </c>
      <c r="M121" s="78">
        <v>148735.03</v>
      </c>
      <c r="N121" s="78">
        <v>1855865.79</v>
      </c>
      <c r="O121" s="78">
        <v>154655.48000000001</v>
      </c>
      <c r="P121" s="37" t="s">
        <v>262</v>
      </c>
      <c r="Q121" s="80">
        <v>45689</v>
      </c>
      <c r="R121" s="37">
        <v>2025</v>
      </c>
      <c r="S121" s="37">
        <v>2</v>
      </c>
      <c r="T121" s="3"/>
      <c r="U121" s="68" t="b">
        <f t="shared" si="5"/>
        <v>1</v>
      </c>
      <c r="V121" s="68" t="b">
        <f t="shared" si="6"/>
        <v>1</v>
      </c>
      <c r="W121" s="68" t="b">
        <f t="shared" si="7"/>
        <v>1</v>
      </c>
      <c r="X121" s="68" t="b">
        <f t="shared" si="8"/>
        <v>1</v>
      </c>
      <c r="Y121" s="69" t="str">
        <f t="shared" si="9"/>
        <v>✅ PASS</v>
      </c>
    </row>
    <row r="122" spans="1:25" ht="15" customHeight="1" x14ac:dyDescent="0.25">
      <c r="A122" s="70"/>
      <c r="B122" s="33" t="s">
        <v>135</v>
      </c>
      <c r="C122" s="33" t="s">
        <v>67</v>
      </c>
      <c r="D122" s="33" t="s">
        <v>65</v>
      </c>
      <c r="E122" s="33" t="s">
        <v>81</v>
      </c>
      <c r="F122" s="33" t="s">
        <v>66</v>
      </c>
      <c r="G122" s="71">
        <v>152</v>
      </c>
      <c r="H122" s="72">
        <v>1095.17</v>
      </c>
      <c r="I122" s="72">
        <v>166465.49</v>
      </c>
      <c r="J122" s="81">
        <v>0.13689999999999999</v>
      </c>
      <c r="K122" s="72">
        <v>143682.39000000001</v>
      </c>
      <c r="L122" s="72">
        <v>-13447.78</v>
      </c>
      <c r="M122" s="72">
        <v>130234.61</v>
      </c>
      <c r="N122" s="72">
        <v>1724188.73</v>
      </c>
      <c r="O122" s="72">
        <v>143682.39000000001</v>
      </c>
      <c r="P122" s="33" t="s">
        <v>262</v>
      </c>
      <c r="Q122" s="74">
        <v>45689</v>
      </c>
      <c r="R122" s="33">
        <v>2025</v>
      </c>
      <c r="S122" s="33">
        <v>2</v>
      </c>
      <c r="T122" s="3"/>
      <c r="U122" s="67" t="b">
        <f t="shared" si="5"/>
        <v>1</v>
      </c>
      <c r="V122" s="67" t="b">
        <f t="shared" si="6"/>
        <v>1</v>
      </c>
      <c r="W122" s="67" t="b">
        <f t="shared" si="7"/>
        <v>1</v>
      </c>
      <c r="X122" s="67" t="b">
        <f t="shared" si="8"/>
        <v>1</v>
      </c>
      <c r="Y122" s="75" t="str">
        <f t="shared" si="9"/>
        <v>✅ PASS</v>
      </c>
    </row>
    <row r="123" spans="1:25" ht="15" customHeight="1" x14ac:dyDescent="0.25">
      <c r="A123" s="76"/>
      <c r="B123" s="37" t="s">
        <v>135</v>
      </c>
      <c r="C123" s="37" t="s">
        <v>67</v>
      </c>
      <c r="D123" s="37" t="s">
        <v>62</v>
      </c>
      <c r="E123" s="37" t="s">
        <v>78</v>
      </c>
      <c r="F123" s="37" t="s">
        <v>69</v>
      </c>
      <c r="G123" s="77">
        <v>114</v>
      </c>
      <c r="H123" s="78">
        <v>608.54999999999995</v>
      </c>
      <c r="I123" s="78">
        <v>69374.47</v>
      </c>
      <c r="J123" s="82">
        <v>0.20030000000000001</v>
      </c>
      <c r="K123" s="78">
        <v>55478.58</v>
      </c>
      <c r="L123" s="78">
        <v>6103</v>
      </c>
      <c r="M123" s="78">
        <v>61581.58</v>
      </c>
      <c r="N123" s="78">
        <v>665742.98</v>
      </c>
      <c r="O123" s="78">
        <v>55478.58</v>
      </c>
      <c r="P123" s="37" t="s">
        <v>262</v>
      </c>
      <c r="Q123" s="80">
        <v>45689</v>
      </c>
      <c r="R123" s="37">
        <v>2025</v>
      </c>
      <c r="S123" s="37">
        <v>2</v>
      </c>
      <c r="T123" s="3"/>
      <c r="U123" s="68" t="b">
        <f t="shared" si="5"/>
        <v>1</v>
      </c>
      <c r="V123" s="68" t="b">
        <f t="shared" si="6"/>
        <v>1</v>
      </c>
      <c r="W123" s="68" t="b">
        <f t="shared" si="7"/>
        <v>1</v>
      </c>
      <c r="X123" s="68" t="b">
        <f t="shared" si="8"/>
        <v>1</v>
      </c>
      <c r="Y123" s="69" t="str">
        <f t="shared" si="9"/>
        <v>✅ PASS</v>
      </c>
    </row>
    <row r="124" spans="1:25" ht="15" customHeight="1" x14ac:dyDescent="0.25">
      <c r="A124" s="70"/>
      <c r="B124" s="33" t="s">
        <v>135</v>
      </c>
      <c r="C124" s="33" t="s">
        <v>67</v>
      </c>
      <c r="D124" s="33" t="s">
        <v>68</v>
      </c>
      <c r="E124" s="33" t="s">
        <v>78</v>
      </c>
      <c r="F124" s="33" t="s">
        <v>69</v>
      </c>
      <c r="G124" s="71">
        <v>109</v>
      </c>
      <c r="H124" s="72">
        <v>1022.08</v>
      </c>
      <c r="I124" s="72">
        <v>111406.45</v>
      </c>
      <c r="J124" s="81">
        <v>0.1477</v>
      </c>
      <c r="K124" s="72">
        <v>94949.97</v>
      </c>
      <c r="L124" s="72">
        <v>-7204.01</v>
      </c>
      <c r="M124" s="72">
        <v>87745.96</v>
      </c>
      <c r="N124" s="72">
        <v>1139399.6100000001</v>
      </c>
      <c r="O124" s="72">
        <v>94949.97</v>
      </c>
      <c r="P124" s="33" t="s">
        <v>262</v>
      </c>
      <c r="Q124" s="74">
        <v>45689</v>
      </c>
      <c r="R124" s="33">
        <v>2025</v>
      </c>
      <c r="S124" s="33">
        <v>2</v>
      </c>
      <c r="T124" s="3"/>
      <c r="U124" s="67" t="b">
        <f t="shared" si="5"/>
        <v>1</v>
      </c>
      <c r="V124" s="67" t="b">
        <f t="shared" si="6"/>
        <v>1</v>
      </c>
      <c r="W124" s="67" t="b">
        <f t="shared" si="7"/>
        <v>1</v>
      </c>
      <c r="X124" s="67" t="b">
        <f t="shared" si="8"/>
        <v>1</v>
      </c>
      <c r="Y124" s="75" t="str">
        <f t="shared" si="9"/>
        <v>✅ PASS</v>
      </c>
    </row>
    <row r="125" spans="1:25" ht="15" customHeight="1" x14ac:dyDescent="0.25">
      <c r="A125" s="76"/>
      <c r="B125" s="37" t="s">
        <v>135</v>
      </c>
      <c r="C125" s="37" t="s">
        <v>64</v>
      </c>
      <c r="D125" s="37" t="s">
        <v>65</v>
      </c>
      <c r="E125" s="37" t="s">
        <v>78</v>
      </c>
      <c r="F125" s="37" t="s">
        <v>66</v>
      </c>
      <c r="G125" s="77">
        <v>261</v>
      </c>
      <c r="H125" s="78">
        <v>380.5</v>
      </c>
      <c r="I125" s="78">
        <v>99311.32</v>
      </c>
      <c r="J125" s="82">
        <v>0.23130000000000001</v>
      </c>
      <c r="K125" s="78">
        <v>76337.61</v>
      </c>
      <c r="L125" s="78">
        <v>3670.2</v>
      </c>
      <c r="M125" s="78">
        <v>80007.820000000007</v>
      </c>
      <c r="N125" s="78">
        <v>916051.34</v>
      </c>
      <c r="O125" s="78">
        <v>76337.61</v>
      </c>
      <c r="P125" s="37" t="s">
        <v>262</v>
      </c>
      <c r="Q125" s="80">
        <v>45689</v>
      </c>
      <c r="R125" s="37">
        <v>2025</v>
      </c>
      <c r="S125" s="37">
        <v>2</v>
      </c>
      <c r="T125" s="3"/>
      <c r="U125" s="68" t="b">
        <f t="shared" si="5"/>
        <v>1</v>
      </c>
      <c r="V125" s="68" t="b">
        <f t="shared" si="6"/>
        <v>1</v>
      </c>
      <c r="W125" s="68" t="b">
        <f t="shared" si="7"/>
        <v>1</v>
      </c>
      <c r="X125" s="68" t="b">
        <f t="shared" si="8"/>
        <v>1</v>
      </c>
      <c r="Y125" s="69" t="str">
        <f t="shared" si="9"/>
        <v>✅ PASS</v>
      </c>
    </row>
    <row r="126" spans="1:25" ht="15" customHeight="1" x14ac:dyDescent="0.25">
      <c r="A126" s="70"/>
      <c r="B126" s="33" t="s">
        <v>135</v>
      </c>
      <c r="C126" s="33" t="s">
        <v>64</v>
      </c>
      <c r="D126" s="33" t="s">
        <v>62</v>
      </c>
      <c r="E126" s="33" t="s">
        <v>78</v>
      </c>
      <c r="F126" s="33" t="s">
        <v>66</v>
      </c>
      <c r="G126" s="71">
        <v>200</v>
      </c>
      <c r="H126" s="72">
        <v>212.72</v>
      </c>
      <c r="I126" s="72">
        <v>42543.44</v>
      </c>
      <c r="J126" s="81">
        <v>0.12239999999999999</v>
      </c>
      <c r="K126" s="72">
        <v>37337.43</v>
      </c>
      <c r="L126" s="72">
        <v>299.29000000000002</v>
      </c>
      <c r="M126" s="72">
        <v>37636.720000000001</v>
      </c>
      <c r="N126" s="72">
        <v>448049.19</v>
      </c>
      <c r="O126" s="72">
        <v>37337.43</v>
      </c>
      <c r="P126" s="33" t="s">
        <v>262</v>
      </c>
      <c r="Q126" s="74">
        <v>45689</v>
      </c>
      <c r="R126" s="33">
        <v>2025</v>
      </c>
      <c r="S126" s="33">
        <v>2</v>
      </c>
      <c r="T126" s="3"/>
      <c r="U126" s="67" t="b">
        <f t="shared" si="5"/>
        <v>1</v>
      </c>
      <c r="V126" s="67" t="b">
        <f t="shared" si="6"/>
        <v>1</v>
      </c>
      <c r="W126" s="67" t="b">
        <f t="shared" si="7"/>
        <v>1</v>
      </c>
      <c r="X126" s="67" t="b">
        <f t="shared" si="8"/>
        <v>1</v>
      </c>
      <c r="Y126" s="75" t="str">
        <f t="shared" si="9"/>
        <v>✅ PASS</v>
      </c>
    </row>
    <row r="127" spans="1:25" ht="15" customHeight="1" x14ac:dyDescent="0.25">
      <c r="A127" s="76"/>
      <c r="B127" s="37" t="s">
        <v>135</v>
      </c>
      <c r="C127" s="37" t="s">
        <v>64</v>
      </c>
      <c r="D127" s="37" t="s">
        <v>68</v>
      </c>
      <c r="E127" s="37" t="s">
        <v>75</v>
      </c>
      <c r="F127" s="37" t="s">
        <v>69</v>
      </c>
      <c r="G127" s="77">
        <v>176</v>
      </c>
      <c r="H127" s="78">
        <v>596.26</v>
      </c>
      <c r="I127" s="78">
        <v>104941.19</v>
      </c>
      <c r="J127" s="82">
        <v>0.1439</v>
      </c>
      <c r="K127" s="78">
        <v>89835.72</v>
      </c>
      <c r="L127" s="78">
        <v>-1960.34</v>
      </c>
      <c r="M127" s="78">
        <v>87875.38</v>
      </c>
      <c r="N127" s="78">
        <v>1078028.6100000001</v>
      </c>
      <c r="O127" s="78">
        <v>89835.72</v>
      </c>
      <c r="P127" s="37" t="s">
        <v>262</v>
      </c>
      <c r="Q127" s="80">
        <v>45689</v>
      </c>
      <c r="R127" s="37">
        <v>2025</v>
      </c>
      <c r="S127" s="37">
        <v>2</v>
      </c>
      <c r="T127" s="3"/>
      <c r="U127" s="68" t="b">
        <f t="shared" si="5"/>
        <v>1</v>
      </c>
      <c r="V127" s="68" t="b">
        <f t="shared" si="6"/>
        <v>1</v>
      </c>
      <c r="W127" s="68" t="b">
        <f t="shared" si="7"/>
        <v>1</v>
      </c>
      <c r="X127" s="68" t="b">
        <f t="shared" si="8"/>
        <v>1</v>
      </c>
      <c r="Y127" s="69" t="str">
        <f t="shared" si="9"/>
        <v>✅ PASS</v>
      </c>
    </row>
    <row r="128" spans="1:25" ht="15" customHeight="1" x14ac:dyDescent="0.25">
      <c r="A128" s="70"/>
      <c r="B128" s="33" t="s">
        <v>136</v>
      </c>
      <c r="C128" s="33" t="s">
        <v>61</v>
      </c>
      <c r="D128" s="33" t="s">
        <v>65</v>
      </c>
      <c r="E128" s="33" t="s">
        <v>75</v>
      </c>
      <c r="F128" s="33" t="s">
        <v>66</v>
      </c>
      <c r="G128" s="71">
        <v>113</v>
      </c>
      <c r="H128" s="72">
        <v>916.26</v>
      </c>
      <c r="I128" s="72">
        <v>103537.78</v>
      </c>
      <c r="J128" s="81">
        <v>0.22289999999999999</v>
      </c>
      <c r="K128" s="72">
        <v>80457.97</v>
      </c>
      <c r="L128" s="72">
        <v>3765.92</v>
      </c>
      <c r="M128" s="72">
        <v>84223.89</v>
      </c>
      <c r="N128" s="72">
        <v>965495.7</v>
      </c>
      <c r="O128" s="72">
        <v>80457.97</v>
      </c>
      <c r="P128" s="33" t="s">
        <v>262</v>
      </c>
      <c r="Q128" s="74">
        <v>45717</v>
      </c>
      <c r="R128" s="33">
        <v>2025</v>
      </c>
      <c r="S128" s="33">
        <v>3</v>
      </c>
      <c r="T128" s="3"/>
      <c r="U128" s="67" t="b">
        <f t="shared" si="5"/>
        <v>1</v>
      </c>
      <c r="V128" s="67" t="b">
        <f t="shared" si="6"/>
        <v>1</v>
      </c>
      <c r="W128" s="67" t="b">
        <f t="shared" si="7"/>
        <v>1</v>
      </c>
      <c r="X128" s="67" t="b">
        <f t="shared" si="8"/>
        <v>1</v>
      </c>
      <c r="Y128" s="75" t="str">
        <f t="shared" si="9"/>
        <v>✅ PASS</v>
      </c>
    </row>
    <row r="129" spans="1:25" ht="15" customHeight="1" x14ac:dyDescent="0.25">
      <c r="A129" s="76"/>
      <c r="B129" s="37" t="s">
        <v>136</v>
      </c>
      <c r="C129" s="37" t="s">
        <v>61</v>
      </c>
      <c r="D129" s="37" t="s">
        <v>62</v>
      </c>
      <c r="E129" s="37" t="s">
        <v>78</v>
      </c>
      <c r="F129" s="37" t="s">
        <v>63</v>
      </c>
      <c r="G129" s="77">
        <v>196</v>
      </c>
      <c r="H129" s="78">
        <v>1155.55</v>
      </c>
      <c r="I129" s="78">
        <v>226488.03</v>
      </c>
      <c r="J129" s="82">
        <v>0.15609999999999999</v>
      </c>
      <c r="K129" s="78">
        <v>191123.38</v>
      </c>
      <c r="L129" s="78">
        <v>26175.99</v>
      </c>
      <c r="M129" s="78">
        <v>217299.37</v>
      </c>
      <c r="N129" s="78">
        <v>2293480.56</v>
      </c>
      <c r="O129" s="78">
        <v>191123.38</v>
      </c>
      <c r="P129" s="37" t="s">
        <v>262</v>
      </c>
      <c r="Q129" s="80">
        <v>45717</v>
      </c>
      <c r="R129" s="37">
        <v>2025</v>
      </c>
      <c r="S129" s="37">
        <v>3</v>
      </c>
      <c r="T129" s="3"/>
      <c r="U129" s="68" t="b">
        <f t="shared" si="5"/>
        <v>1</v>
      </c>
      <c r="V129" s="68" t="b">
        <f t="shared" si="6"/>
        <v>1</v>
      </c>
      <c r="W129" s="68" t="b">
        <f t="shared" si="7"/>
        <v>1</v>
      </c>
      <c r="X129" s="68" t="b">
        <f t="shared" si="8"/>
        <v>1</v>
      </c>
      <c r="Y129" s="69" t="str">
        <f t="shared" si="9"/>
        <v>✅ PASS</v>
      </c>
    </row>
    <row r="130" spans="1:25" ht="15" customHeight="1" x14ac:dyDescent="0.25">
      <c r="A130" s="70"/>
      <c r="B130" s="33" t="s">
        <v>136</v>
      </c>
      <c r="C130" s="33" t="s">
        <v>61</v>
      </c>
      <c r="D130" s="33" t="s">
        <v>68</v>
      </c>
      <c r="E130" s="33" t="s">
        <v>75</v>
      </c>
      <c r="F130" s="33" t="s">
        <v>66</v>
      </c>
      <c r="G130" s="71">
        <v>98</v>
      </c>
      <c r="H130" s="72">
        <v>393.5</v>
      </c>
      <c r="I130" s="72">
        <v>38562.9</v>
      </c>
      <c r="J130" s="73">
        <v>5.3600000000000002E-2</v>
      </c>
      <c r="K130" s="72">
        <v>36496.480000000003</v>
      </c>
      <c r="L130" s="72">
        <v>477.3</v>
      </c>
      <c r="M130" s="72">
        <v>36973.78</v>
      </c>
      <c r="N130" s="72">
        <v>437957.72</v>
      </c>
      <c r="O130" s="72">
        <v>36496.480000000003</v>
      </c>
      <c r="P130" s="33" t="s">
        <v>262</v>
      </c>
      <c r="Q130" s="74">
        <v>45717</v>
      </c>
      <c r="R130" s="33">
        <v>2025</v>
      </c>
      <c r="S130" s="33">
        <v>3</v>
      </c>
      <c r="T130" s="3"/>
      <c r="U130" s="67" t="b">
        <f t="shared" ref="U130:U193" si="10">IF(I130=0,"N/A",ABS(I130*(1-J130)-K130)/I130&lt;0.001)</f>
        <v>1</v>
      </c>
      <c r="V130" s="67" t="b">
        <f t="shared" ref="V130:V193" si="11">ABS(N130-O130*12)&lt;=1</f>
        <v>1</v>
      </c>
      <c r="W130" s="67" t="b">
        <f t="shared" ref="W130:W193" si="12">ABS(K130+L130-M130)&lt;=1</f>
        <v>1</v>
      </c>
      <c r="X130" s="67" t="b">
        <f t="shared" ref="X130:X193" si="13">AND(B130&lt;&gt;"",C130&lt;&gt;"",K130&lt;&gt;0,N130&lt;&gt;0)</f>
        <v>1</v>
      </c>
      <c r="Y130" s="75" t="str">
        <f t="shared" ref="Y130:Y193" si="14">IF(AND(OR(U130=TRUE(),U130="N/A"),V130=TRUE(),W130=TRUE(),X130=TRUE()),"✅ PASS","❌ FAIL")</f>
        <v>✅ PASS</v>
      </c>
    </row>
    <row r="131" spans="1:25" ht="15" customHeight="1" x14ac:dyDescent="0.25">
      <c r="A131" s="76"/>
      <c r="B131" s="37" t="s">
        <v>136</v>
      </c>
      <c r="C131" s="37" t="s">
        <v>67</v>
      </c>
      <c r="D131" s="37" t="s">
        <v>65</v>
      </c>
      <c r="E131" s="37" t="s">
        <v>78</v>
      </c>
      <c r="F131" s="37" t="s">
        <v>63</v>
      </c>
      <c r="G131" s="77">
        <v>199</v>
      </c>
      <c r="H131" s="78">
        <v>485.61</v>
      </c>
      <c r="I131" s="78">
        <v>96636.11</v>
      </c>
      <c r="J131" s="82">
        <v>0.13730000000000001</v>
      </c>
      <c r="K131" s="78">
        <v>83367.37</v>
      </c>
      <c r="L131" s="78">
        <v>-5238.32</v>
      </c>
      <c r="M131" s="78">
        <v>78129.05</v>
      </c>
      <c r="N131" s="78">
        <v>1000408.45</v>
      </c>
      <c r="O131" s="78">
        <v>83367.37</v>
      </c>
      <c r="P131" s="37" t="s">
        <v>262</v>
      </c>
      <c r="Q131" s="80">
        <v>45717</v>
      </c>
      <c r="R131" s="37">
        <v>2025</v>
      </c>
      <c r="S131" s="37">
        <v>3</v>
      </c>
      <c r="T131" s="3"/>
      <c r="U131" s="68" t="b">
        <f t="shared" si="10"/>
        <v>1</v>
      </c>
      <c r="V131" s="68" t="b">
        <f t="shared" si="11"/>
        <v>1</v>
      </c>
      <c r="W131" s="68" t="b">
        <f t="shared" si="12"/>
        <v>1</v>
      </c>
      <c r="X131" s="68" t="b">
        <f t="shared" si="13"/>
        <v>1</v>
      </c>
      <c r="Y131" s="69" t="str">
        <f t="shared" si="14"/>
        <v>✅ PASS</v>
      </c>
    </row>
    <row r="132" spans="1:25" ht="15" customHeight="1" x14ac:dyDescent="0.25">
      <c r="A132" s="70"/>
      <c r="B132" s="33" t="s">
        <v>136</v>
      </c>
      <c r="C132" s="33" t="s">
        <v>67</v>
      </c>
      <c r="D132" s="33" t="s">
        <v>62</v>
      </c>
      <c r="E132" s="33" t="s">
        <v>75</v>
      </c>
      <c r="F132" s="33" t="s">
        <v>69</v>
      </c>
      <c r="G132" s="71">
        <v>188</v>
      </c>
      <c r="H132" s="72">
        <v>533.82000000000005</v>
      </c>
      <c r="I132" s="72">
        <v>100358.94</v>
      </c>
      <c r="J132" s="81">
        <v>0.19839999999999999</v>
      </c>
      <c r="K132" s="72">
        <v>80448.67</v>
      </c>
      <c r="L132" s="72">
        <v>-5559.71</v>
      </c>
      <c r="M132" s="72">
        <v>74888.960000000006</v>
      </c>
      <c r="N132" s="72">
        <v>965383.99</v>
      </c>
      <c r="O132" s="72">
        <v>80448.67</v>
      </c>
      <c r="P132" s="33" t="s">
        <v>262</v>
      </c>
      <c r="Q132" s="74">
        <v>45717</v>
      </c>
      <c r="R132" s="33">
        <v>2025</v>
      </c>
      <c r="S132" s="33">
        <v>3</v>
      </c>
      <c r="T132" s="3"/>
      <c r="U132" s="67" t="b">
        <f t="shared" si="10"/>
        <v>1</v>
      </c>
      <c r="V132" s="67" t="b">
        <f t="shared" si="11"/>
        <v>1</v>
      </c>
      <c r="W132" s="67" t="b">
        <f t="shared" si="12"/>
        <v>1</v>
      </c>
      <c r="X132" s="67" t="b">
        <f t="shared" si="13"/>
        <v>1</v>
      </c>
      <c r="Y132" s="75" t="str">
        <f t="shared" si="14"/>
        <v>✅ PASS</v>
      </c>
    </row>
    <row r="133" spans="1:25" ht="15" customHeight="1" x14ac:dyDescent="0.25">
      <c r="A133" s="76"/>
      <c r="B133" s="37" t="s">
        <v>136</v>
      </c>
      <c r="C133" s="37" t="s">
        <v>67</v>
      </c>
      <c r="D133" s="37" t="s">
        <v>68</v>
      </c>
      <c r="E133" s="37" t="s">
        <v>75</v>
      </c>
      <c r="F133" s="37" t="s">
        <v>69</v>
      </c>
      <c r="G133" s="77">
        <v>64</v>
      </c>
      <c r="H133" s="78">
        <v>619.87</v>
      </c>
      <c r="I133" s="78">
        <v>39671.360000000001</v>
      </c>
      <c r="J133" s="79">
        <v>6.54E-2</v>
      </c>
      <c r="K133" s="78">
        <v>37075.199999999997</v>
      </c>
      <c r="L133" s="78">
        <v>2959.52</v>
      </c>
      <c r="M133" s="78">
        <v>40034.730000000003</v>
      </c>
      <c r="N133" s="78">
        <v>444902.42</v>
      </c>
      <c r="O133" s="78">
        <v>37075.199999999997</v>
      </c>
      <c r="P133" s="37" t="s">
        <v>262</v>
      </c>
      <c r="Q133" s="80">
        <v>45717</v>
      </c>
      <c r="R133" s="37">
        <v>2025</v>
      </c>
      <c r="S133" s="37">
        <v>3</v>
      </c>
      <c r="T133" s="3"/>
      <c r="U133" s="68" t="b">
        <f t="shared" si="10"/>
        <v>1</v>
      </c>
      <c r="V133" s="68" t="b">
        <f t="shared" si="11"/>
        <v>1</v>
      </c>
      <c r="W133" s="68" t="b">
        <f t="shared" si="12"/>
        <v>1</v>
      </c>
      <c r="X133" s="68" t="b">
        <f t="shared" si="13"/>
        <v>1</v>
      </c>
      <c r="Y133" s="69" t="str">
        <f t="shared" si="14"/>
        <v>✅ PASS</v>
      </c>
    </row>
    <row r="134" spans="1:25" ht="15" customHeight="1" x14ac:dyDescent="0.25">
      <c r="A134" s="70"/>
      <c r="B134" s="33" t="s">
        <v>136</v>
      </c>
      <c r="C134" s="33" t="s">
        <v>64</v>
      </c>
      <c r="D134" s="33" t="s">
        <v>65</v>
      </c>
      <c r="E134" s="33" t="s">
        <v>75</v>
      </c>
      <c r="F134" s="33" t="s">
        <v>66</v>
      </c>
      <c r="G134" s="71">
        <v>72</v>
      </c>
      <c r="H134" s="72">
        <v>832.62</v>
      </c>
      <c r="I134" s="72">
        <v>59948.63</v>
      </c>
      <c r="J134" s="73">
        <v>8.1799999999999998E-2</v>
      </c>
      <c r="K134" s="72">
        <v>55046.79</v>
      </c>
      <c r="L134" s="72">
        <v>1299.06</v>
      </c>
      <c r="M134" s="72">
        <v>56345.85</v>
      </c>
      <c r="N134" s="72">
        <v>660561.42000000004</v>
      </c>
      <c r="O134" s="72">
        <v>55046.79</v>
      </c>
      <c r="P134" s="33" t="s">
        <v>262</v>
      </c>
      <c r="Q134" s="74">
        <v>45717</v>
      </c>
      <c r="R134" s="33">
        <v>2025</v>
      </c>
      <c r="S134" s="33">
        <v>3</v>
      </c>
      <c r="T134" s="3"/>
      <c r="U134" s="67" t="b">
        <f t="shared" si="10"/>
        <v>1</v>
      </c>
      <c r="V134" s="67" t="b">
        <f t="shared" si="11"/>
        <v>1</v>
      </c>
      <c r="W134" s="67" t="b">
        <f t="shared" si="12"/>
        <v>1</v>
      </c>
      <c r="X134" s="67" t="b">
        <f t="shared" si="13"/>
        <v>1</v>
      </c>
      <c r="Y134" s="75" t="str">
        <f t="shared" si="14"/>
        <v>✅ PASS</v>
      </c>
    </row>
    <row r="135" spans="1:25" ht="15" customHeight="1" x14ac:dyDescent="0.25">
      <c r="A135" s="76"/>
      <c r="B135" s="37" t="s">
        <v>136</v>
      </c>
      <c r="C135" s="37" t="s">
        <v>64</v>
      </c>
      <c r="D135" s="37" t="s">
        <v>62</v>
      </c>
      <c r="E135" s="37" t="s">
        <v>75</v>
      </c>
      <c r="F135" s="37" t="s">
        <v>66</v>
      </c>
      <c r="G135" s="77">
        <v>191</v>
      </c>
      <c r="H135" s="78">
        <v>1137.24</v>
      </c>
      <c r="I135" s="78">
        <v>217212.76</v>
      </c>
      <c r="J135" s="79">
        <v>5.8999999999999997E-2</v>
      </c>
      <c r="K135" s="78">
        <v>204404.73</v>
      </c>
      <c r="L135" s="78">
        <v>867.15</v>
      </c>
      <c r="M135" s="78">
        <v>205271.88</v>
      </c>
      <c r="N135" s="78">
        <v>2452856.75</v>
      </c>
      <c r="O135" s="78">
        <v>204404.73</v>
      </c>
      <c r="P135" s="37" t="s">
        <v>262</v>
      </c>
      <c r="Q135" s="80">
        <v>45717</v>
      </c>
      <c r="R135" s="37">
        <v>2025</v>
      </c>
      <c r="S135" s="37">
        <v>3</v>
      </c>
      <c r="T135" s="3"/>
      <c r="U135" s="68" t="b">
        <f t="shared" si="10"/>
        <v>1</v>
      </c>
      <c r="V135" s="68" t="b">
        <f t="shared" si="11"/>
        <v>1</v>
      </c>
      <c r="W135" s="68" t="b">
        <f t="shared" si="12"/>
        <v>1</v>
      </c>
      <c r="X135" s="68" t="b">
        <f t="shared" si="13"/>
        <v>1</v>
      </c>
      <c r="Y135" s="69" t="str">
        <f t="shared" si="14"/>
        <v>✅ PASS</v>
      </c>
    </row>
    <row r="136" spans="1:25" ht="15" customHeight="1" x14ac:dyDescent="0.25">
      <c r="A136" s="70"/>
      <c r="B136" s="33" t="s">
        <v>136</v>
      </c>
      <c r="C136" s="33" t="s">
        <v>64</v>
      </c>
      <c r="D136" s="33" t="s">
        <v>68</v>
      </c>
      <c r="E136" s="33" t="s">
        <v>75</v>
      </c>
      <c r="F136" s="33" t="s">
        <v>66</v>
      </c>
      <c r="G136" s="71">
        <v>223</v>
      </c>
      <c r="H136" s="72">
        <v>889.74</v>
      </c>
      <c r="I136" s="72">
        <v>198412.79</v>
      </c>
      <c r="J136" s="73">
        <v>1.67E-2</v>
      </c>
      <c r="K136" s="72">
        <v>195090.31</v>
      </c>
      <c r="L136" s="72">
        <v>12496.63</v>
      </c>
      <c r="M136" s="72">
        <v>207586.94</v>
      </c>
      <c r="N136" s="72">
        <v>2341083.7200000002</v>
      </c>
      <c r="O136" s="72">
        <v>195090.31</v>
      </c>
      <c r="P136" s="33" t="s">
        <v>262</v>
      </c>
      <c r="Q136" s="74">
        <v>45717</v>
      </c>
      <c r="R136" s="33">
        <v>2025</v>
      </c>
      <c r="S136" s="33">
        <v>3</v>
      </c>
      <c r="T136" s="3"/>
      <c r="U136" s="67" t="b">
        <f t="shared" si="10"/>
        <v>1</v>
      </c>
      <c r="V136" s="67" t="b">
        <f t="shared" si="11"/>
        <v>1</v>
      </c>
      <c r="W136" s="67" t="b">
        <f t="shared" si="12"/>
        <v>1</v>
      </c>
      <c r="X136" s="67" t="b">
        <f t="shared" si="13"/>
        <v>1</v>
      </c>
      <c r="Y136" s="75" t="str">
        <f t="shared" si="14"/>
        <v>✅ PASS</v>
      </c>
    </row>
    <row r="137" spans="1:25" ht="15" customHeight="1" x14ac:dyDescent="0.25">
      <c r="A137" s="76"/>
      <c r="B137" s="37" t="s">
        <v>137</v>
      </c>
      <c r="C137" s="37" t="s">
        <v>61</v>
      </c>
      <c r="D137" s="37" t="s">
        <v>65</v>
      </c>
      <c r="E137" s="37" t="s">
        <v>75</v>
      </c>
      <c r="F137" s="37" t="s">
        <v>63</v>
      </c>
      <c r="G137" s="77">
        <v>138</v>
      </c>
      <c r="H137" s="78">
        <v>648.62</v>
      </c>
      <c r="I137" s="78">
        <v>89509.97</v>
      </c>
      <c r="J137" s="79">
        <v>6.9000000000000006E-2</v>
      </c>
      <c r="K137" s="78">
        <v>83336.02</v>
      </c>
      <c r="L137" s="78">
        <v>-7222.42</v>
      </c>
      <c r="M137" s="78">
        <v>76113.600000000006</v>
      </c>
      <c r="N137" s="78">
        <v>1000032.26</v>
      </c>
      <c r="O137" s="78">
        <v>83336.02</v>
      </c>
      <c r="P137" s="37" t="s">
        <v>262</v>
      </c>
      <c r="Q137" s="80">
        <v>45748</v>
      </c>
      <c r="R137" s="37">
        <v>2025</v>
      </c>
      <c r="S137" s="37">
        <v>4</v>
      </c>
      <c r="T137" s="3"/>
      <c r="U137" s="68" t="b">
        <f t="shared" si="10"/>
        <v>1</v>
      </c>
      <c r="V137" s="68" t="b">
        <f t="shared" si="11"/>
        <v>1</v>
      </c>
      <c r="W137" s="68" t="b">
        <f t="shared" si="12"/>
        <v>1</v>
      </c>
      <c r="X137" s="68" t="b">
        <f t="shared" si="13"/>
        <v>1</v>
      </c>
      <c r="Y137" s="69" t="str">
        <f t="shared" si="14"/>
        <v>✅ PASS</v>
      </c>
    </row>
    <row r="138" spans="1:25" ht="15" customHeight="1" x14ac:dyDescent="0.25">
      <c r="A138" s="70"/>
      <c r="B138" s="33" t="s">
        <v>137</v>
      </c>
      <c r="C138" s="33" t="s">
        <v>61</v>
      </c>
      <c r="D138" s="33" t="s">
        <v>62</v>
      </c>
      <c r="E138" s="33" t="s">
        <v>78</v>
      </c>
      <c r="F138" s="33" t="s">
        <v>69</v>
      </c>
      <c r="G138" s="71">
        <v>135</v>
      </c>
      <c r="H138" s="72">
        <v>319.77999999999997</v>
      </c>
      <c r="I138" s="72">
        <v>43169.97</v>
      </c>
      <c r="J138" s="73">
        <v>1.9E-2</v>
      </c>
      <c r="K138" s="72">
        <v>42348.74</v>
      </c>
      <c r="L138" s="72">
        <v>-1334.62</v>
      </c>
      <c r="M138" s="72">
        <v>41014.120000000003</v>
      </c>
      <c r="N138" s="72">
        <v>508184.9</v>
      </c>
      <c r="O138" s="72">
        <v>42348.74</v>
      </c>
      <c r="P138" s="33" t="s">
        <v>262</v>
      </c>
      <c r="Q138" s="74">
        <v>45748</v>
      </c>
      <c r="R138" s="33">
        <v>2025</v>
      </c>
      <c r="S138" s="33">
        <v>4</v>
      </c>
      <c r="T138" s="3"/>
      <c r="U138" s="67" t="b">
        <f t="shared" si="10"/>
        <v>1</v>
      </c>
      <c r="V138" s="67" t="b">
        <f t="shared" si="11"/>
        <v>1</v>
      </c>
      <c r="W138" s="67" t="b">
        <f t="shared" si="12"/>
        <v>1</v>
      </c>
      <c r="X138" s="67" t="b">
        <f t="shared" si="13"/>
        <v>1</v>
      </c>
      <c r="Y138" s="75" t="str">
        <f t="shared" si="14"/>
        <v>✅ PASS</v>
      </c>
    </row>
    <row r="139" spans="1:25" ht="15" customHeight="1" x14ac:dyDescent="0.25">
      <c r="A139" s="76"/>
      <c r="B139" s="37" t="s">
        <v>137</v>
      </c>
      <c r="C139" s="37" t="s">
        <v>61</v>
      </c>
      <c r="D139" s="37" t="s">
        <v>68</v>
      </c>
      <c r="E139" s="37" t="s">
        <v>78</v>
      </c>
      <c r="F139" s="37" t="s">
        <v>66</v>
      </c>
      <c r="G139" s="77">
        <v>265</v>
      </c>
      <c r="H139" s="78">
        <v>1117.0899999999999</v>
      </c>
      <c r="I139" s="78">
        <v>296029.52</v>
      </c>
      <c r="J139" s="79">
        <v>3.39E-2</v>
      </c>
      <c r="K139" s="78">
        <v>285996.7</v>
      </c>
      <c r="L139" s="78">
        <v>20543.34</v>
      </c>
      <c r="M139" s="78">
        <v>306540.03999999998</v>
      </c>
      <c r="N139" s="78">
        <v>3431960.41</v>
      </c>
      <c r="O139" s="78">
        <v>285996.7</v>
      </c>
      <c r="P139" s="37" t="s">
        <v>262</v>
      </c>
      <c r="Q139" s="80">
        <v>45748</v>
      </c>
      <c r="R139" s="37">
        <v>2025</v>
      </c>
      <c r="S139" s="37">
        <v>4</v>
      </c>
      <c r="T139" s="3"/>
      <c r="U139" s="68" t="b">
        <f t="shared" si="10"/>
        <v>1</v>
      </c>
      <c r="V139" s="68" t="b">
        <f t="shared" si="11"/>
        <v>1</v>
      </c>
      <c r="W139" s="68" t="b">
        <f t="shared" si="12"/>
        <v>1</v>
      </c>
      <c r="X139" s="68" t="b">
        <f t="shared" si="13"/>
        <v>1</v>
      </c>
      <c r="Y139" s="69" t="str">
        <f t="shared" si="14"/>
        <v>✅ PASS</v>
      </c>
    </row>
    <row r="140" spans="1:25" ht="15" customHeight="1" x14ac:dyDescent="0.25">
      <c r="A140" s="70"/>
      <c r="B140" s="33" t="s">
        <v>137</v>
      </c>
      <c r="C140" s="33" t="s">
        <v>67</v>
      </c>
      <c r="D140" s="33" t="s">
        <v>65</v>
      </c>
      <c r="E140" s="33" t="s">
        <v>75</v>
      </c>
      <c r="F140" s="33" t="s">
        <v>66</v>
      </c>
      <c r="G140" s="71">
        <v>138</v>
      </c>
      <c r="H140" s="72">
        <v>824.23</v>
      </c>
      <c r="I140" s="72">
        <v>113743.46</v>
      </c>
      <c r="J140" s="81">
        <v>0.15390000000000001</v>
      </c>
      <c r="K140" s="72">
        <v>96242.1</v>
      </c>
      <c r="L140" s="72">
        <v>-5098.8500000000004</v>
      </c>
      <c r="M140" s="72">
        <v>91143.25</v>
      </c>
      <c r="N140" s="72">
        <v>1154905.23</v>
      </c>
      <c r="O140" s="72">
        <v>96242.1</v>
      </c>
      <c r="P140" s="33" t="s">
        <v>262</v>
      </c>
      <c r="Q140" s="74">
        <v>45748</v>
      </c>
      <c r="R140" s="33">
        <v>2025</v>
      </c>
      <c r="S140" s="33">
        <v>4</v>
      </c>
      <c r="T140" s="3"/>
      <c r="U140" s="67" t="b">
        <f t="shared" si="10"/>
        <v>1</v>
      </c>
      <c r="V140" s="67" t="b">
        <f t="shared" si="11"/>
        <v>1</v>
      </c>
      <c r="W140" s="67" t="b">
        <f t="shared" si="12"/>
        <v>1</v>
      </c>
      <c r="X140" s="67" t="b">
        <f t="shared" si="13"/>
        <v>1</v>
      </c>
      <c r="Y140" s="75" t="str">
        <f t="shared" si="14"/>
        <v>✅ PASS</v>
      </c>
    </row>
    <row r="141" spans="1:25" ht="15" customHeight="1" x14ac:dyDescent="0.25">
      <c r="A141" s="76"/>
      <c r="B141" s="37" t="s">
        <v>137</v>
      </c>
      <c r="C141" s="37" t="s">
        <v>67</v>
      </c>
      <c r="D141" s="37" t="s">
        <v>62</v>
      </c>
      <c r="E141" s="37" t="s">
        <v>78</v>
      </c>
      <c r="F141" s="37" t="s">
        <v>63</v>
      </c>
      <c r="G141" s="77">
        <v>247</v>
      </c>
      <c r="H141" s="78">
        <v>1143.58</v>
      </c>
      <c r="I141" s="78">
        <v>282463.40999999997</v>
      </c>
      <c r="J141" s="79">
        <v>6.4199999999999993E-2</v>
      </c>
      <c r="K141" s="78">
        <v>264329.56</v>
      </c>
      <c r="L141" s="78">
        <v>-26033.119999999999</v>
      </c>
      <c r="M141" s="78">
        <v>238296.45</v>
      </c>
      <c r="N141" s="78">
        <v>3171954.76</v>
      </c>
      <c r="O141" s="78">
        <v>264329.56</v>
      </c>
      <c r="P141" s="37" t="s">
        <v>262</v>
      </c>
      <c r="Q141" s="80">
        <v>45748</v>
      </c>
      <c r="R141" s="37">
        <v>2025</v>
      </c>
      <c r="S141" s="37">
        <v>4</v>
      </c>
      <c r="T141" s="3"/>
      <c r="U141" s="68" t="b">
        <f t="shared" si="10"/>
        <v>1</v>
      </c>
      <c r="V141" s="68" t="b">
        <f t="shared" si="11"/>
        <v>1</v>
      </c>
      <c r="W141" s="68" t="b">
        <f t="shared" si="12"/>
        <v>1</v>
      </c>
      <c r="X141" s="68" t="b">
        <f t="shared" si="13"/>
        <v>1</v>
      </c>
      <c r="Y141" s="69" t="str">
        <f t="shared" si="14"/>
        <v>✅ PASS</v>
      </c>
    </row>
    <row r="142" spans="1:25" ht="15" customHeight="1" x14ac:dyDescent="0.25">
      <c r="A142" s="70"/>
      <c r="B142" s="33" t="s">
        <v>137</v>
      </c>
      <c r="C142" s="33" t="s">
        <v>67</v>
      </c>
      <c r="D142" s="33" t="s">
        <v>68</v>
      </c>
      <c r="E142" s="33" t="s">
        <v>78</v>
      </c>
      <c r="F142" s="33" t="s">
        <v>63</v>
      </c>
      <c r="G142" s="71">
        <v>76</v>
      </c>
      <c r="H142" s="72">
        <v>1171.54</v>
      </c>
      <c r="I142" s="72">
        <v>89037.42</v>
      </c>
      <c r="J142" s="81">
        <v>0.1678</v>
      </c>
      <c r="K142" s="72">
        <v>74099.13</v>
      </c>
      <c r="L142" s="72">
        <v>1378.43</v>
      </c>
      <c r="M142" s="72">
        <v>75477.56</v>
      </c>
      <c r="N142" s="72">
        <v>889189.59</v>
      </c>
      <c r="O142" s="72">
        <v>74099.13</v>
      </c>
      <c r="P142" s="33" t="s">
        <v>262</v>
      </c>
      <c r="Q142" s="74">
        <v>45748</v>
      </c>
      <c r="R142" s="33">
        <v>2025</v>
      </c>
      <c r="S142" s="33">
        <v>4</v>
      </c>
      <c r="T142" s="3"/>
      <c r="U142" s="67" t="b">
        <f t="shared" si="10"/>
        <v>1</v>
      </c>
      <c r="V142" s="67" t="b">
        <f t="shared" si="11"/>
        <v>1</v>
      </c>
      <c r="W142" s="67" t="b">
        <f t="shared" si="12"/>
        <v>1</v>
      </c>
      <c r="X142" s="67" t="b">
        <f t="shared" si="13"/>
        <v>1</v>
      </c>
      <c r="Y142" s="75" t="str">
        <f t="shared" si="14"/>
        <v>✅ PASS</v>
      </c>
    </row>
    <row r="143" spans="1:25" ht="15" customHeight="1" x14ac:dyDescent="0.25">
      <c r="A143" s="76"/>
      <c r="B143" s="37" t="s">
        <v>137</v>
      </c>
      <c r="C143" s="37" t="s">
        <v>64</v>
      </c>
      <c r="D143" s="37" t="s">
        <v>65</v>
      </c>
      <c r="E143" s="37" t="s">
        <v>81</v>
      </c>
      <c r="F143" s="37" t="s">
        <v>66</v>
      </c>
      <c r="G143" s="77">
        <v>131</v>
      </c>
      <c r="H143" s="78">
        <v>366.17</v>
      </c>
      <c r="I143" s="78">
        <v>47967.62</v>
      </c>
      <c r="J143" s="79">
        <v>1.9E-2</v>
      </c>
      <c r="K143" s="78">
        <v>47055.33</v>
      </c>
      <c r="L143" s="78">
        <v>-4372.25</v>
      </c>
      <c r="M143" s="78">
        <v>42683.08</v>
      </c>
      <c r="N143" s="78">
        <v>564663.98</v>
      </c>
      <c r="O143" s="78">
        <v>47055.33</v>
      </c>
      <c r="P143" s="37" t="s">
        <v>262</v>
      </c>
      <c r="Q143" s="80">
        <v>45748</v>
      </c>
      <c r="R143" s="37">
        <v>2025</v>
      </c>
      <c r="S143" s="37">
        <v>4</v>
      </c>
      <c r="T143" s="3"/>
      <c r="U143" s="68" t="b">
        <f t="shared" si="10"/>
        <v>1</v>
      </c>
      <c r="V143" s="68" t="b">
        <f t="shared" si="11"/>
        <v>1</v>
      </c>
      <c r="W143" s="68" t="b">
        <f t="shared" si="12"/>
        <v>1</v>
      </c>
      <c r="X143" s="68" t="b">
        <f t="shared" si="13"/>
        <v>1</v>
      </c>
      <c r="Y143" s="69" t="str">
        <f t="shared" si="14"/>
        <v>✅ PASS</v>
      </c>
    </row>
    <row r="144" spans="1:25" ht="15" customHeight="1" x14ac:dyDescent="0.25">
      <c r="A144" s="70"/>
      <c r="B144" s="33" t="s">
        <v>137</v>
      </c>
      <c r="C144" s="33" t="s">
        <v>64</v>
      </c>
      <c r="D144" s="33" t="s">
        <v>62</v>
      </c>
      <c r="E144" s="33" t="s">
        <v>78</v>
      </c>
      <c r="F144" s="33" t="s">
        <v>63</v>
      </c>
      <c r="G144" s="71">
        <v>239</v>
      </c>
      <c r="H144" s="72">
        <v>801.73</v>
      </c>
      <c r="I144" s="72">
        <v>191613.46</v>
      </c>
      <c r="J144" s="81">
        <v>0.248</v>
      </c>
      <c r="K144" s="72">
        <v>144092.6</v>
      </c>
      <c r="L144" s="72">
        <v>6074.24</v>
      </c>
      <c r="M144" s="72">
        <v>150166.84</v>
      </c>
      <c r="N144" s="72">
        <v>1729111.17</v>
      </c>
      <c r="O144" s="72">
        <v>144092.6</v>
      </c>
      <c r="P144" s="33" t="s">
        <v>262</v>
      </c>
      <c r="Q144" s="74">
        <v>45748</v>
      </c>
      <c r="R144" s="33">
        <v>2025</v>
      </c>
      <c r="S144" s="33">
        <v>4</v>
      </c>
      <c r="T144" s="3"/>
      <c r="U144" s="67" t="b">
        <f t="shared" si="10"/>
        <v>1</v>
      </c>
      <c r="V144" s="67" t="b">
        <f t="shared" si="11"/>
        <v>1</v>
      </c>
      <c r="W144" s="67" t="b">
        <f t="shared" si="12"/>
        <v>1</v>
      </c>
      <c r="X144" s="67" t="b">
        <f t="shared" si="13"/>
        <v>1</v>
      </c>
      <c r="Y144" s="75" t="str">
        <f t="shared" si="14"/>
        <v>✅ PASS</v>
      </c>
    </row>
    <row r="145" spans="1:25" ht="15" customHeight="1" x14ac:dyDescent="0.25">
      <c r="A145" s="76"/>
      <c r="B145" s="37" t="s">
        <v>137</v>
      </c>
      <c r="C145" s="37" t="s">
        <v>64</v>
      </c>
      <c r="D145" s="37" t="s">
        <v>68</v>
      </c>
      <c r="E145" s="37" t="s">
        <v>78</v>
      </c>
      <c r="F145" s="37" t="s">
        <v>69</v>
      </c>
      <c r="G145" s="77">
        <v>168</v>
      </c>
      <c r="H145" s="78">
        <v>854.88</v>
      </c>
      <c r="I145" s="78">
        <v>143619.48000000001</v>
      </c>
      <c r="J145" s="79">
        <v>3.6600000000000001E-2</v>
      </c>
      <c r="K145" s="78">
        <v>138367.98000000001</v>
      </c>
      <c r="L145" s="78">
        <v>-3282.41</v>
      </c>
      <c r="M145" s="78">
        <v>135085.57</v>
      </c>
      <c r="N145" s="78">
        <v>1660415.74</v>
      </c>
      <c r="O145" s="78">
        <v>138367.98000000001</v>
      </c>
      <c r="P145" s="37" t="s">
        <v>262</v>
      </c>
      <c r="Q145" s="80">
        <v>45748</v>
      </c>
      <c r="R145" s="37">
        <v>2025</v>
      </c>
      <c r="S145" s="37">
        <v>4</v>
      </c>
      <c r="T145" s="3"/>
      <c r="U145" s="68" t="b">
        <f t="shared" si="10"/>
        <v>1</v>
      </c>
      <c r="V145" s="68" t="b">
        <f t="shared" si="11"/>
        <v>1</v>
      </c>
      <c r="W145" s="68" t="b">
        <f t="shared" si="12"/>
        <v>1</v>
      </c>
      <c r="X145" s="68" t="b">
        <f t="shared" si="13"/>
        <v>1</v>
      </c>
      <c r="Y145" s="69" t="str">
        <f t="shared" si="14"/>
        <v>✅ PASS</v>
      </c>
    </row>
    <row r="146" spans="1:25" ht="15" customHeight="1" x14ac:dyDescent="0.25">
      <c r="A146" s="70"/>
      <c r="B146" s="33" t="s">
        <v>138</v>
      </c>
      <c r="C146" s="33" t="s">
        <v>61</v>
      </c>
      <c r="D146" s="33" t="s">
        <v>65</v>
      </c>
      <c r="E146" s="33" t="s">
        <v>81</v>
      </c>
      <c r="F146" s="33" t="s">
        <v>63</v>
      </c>
      <c r="G146" s="71">
        <v>261</v>
      </c>
      <c r="H146" s="72">
        <v>435.38</v>
      </c>
      <c r="I146" s="72">
        <v>113633.33</v>
      </c>
      <c r="J146" s="73">
        <v>4.6699999999999998E-2</v>
      </c>
      <c r="K146" s="72">
        <v>108329.06</v>
      </c>
      <c r="L146" s="72">
        <v>16114.13</v>
      </c>
      <c r="M146" s="72">
        <v>124443.19</v>
      </c>
      <c r="N146" s="72">
        <v>1299948.71</v>
      </c>
      <c r="O146" s="72">
        <v>108329.06</v>
      </c>
      <c r="P146" s="33" t="s">
        <v>262</v>
      </c>
      <c r="Q146" s="74">
        <v>45778</v>
      </c>
      <c r="R146" s="33">
        <v>2025</v>
      </c>
      <c r="S146" s="33">
        <v>5</v>
      </c>
      <c r="T146" s="3"/>
      <c r="U146" s="67" t="b">
        <f t="shared" si="10"/>
        <v>1</v>
      </c>
      <c r="V146" s="67" t="b">
        <f t="shared" si="11"/>
        <v>1</v>
      </c>
      <c r="W146" s="67" t="b">
        <f t="shared" si="12"/>
        <v>1</v>
      </c>
      <c r="X146" s="67" t="b">
        <f t="shared" si="13"/>
        <v>1</v>
      </c>
      <c r="Y146" s="75" t="str">
        <f t="shared" si="14"/>
        <v>✅ PASS</v>
      </c>
    </row>
    <row r="147" spans="1:25" ht="15" customHeight="1" x14ac:dyDescent="0.25">
      <c r="A147" s="76"/>
      <c r="B147" s="37" t="s">
        <v>138</v>
      </c>
      <c r="C147" s="37" t="s">
        <v>61</v>
      </c>
      <c r="D147" s="37" t="s">
        <v>62</v>
      </c>
      <c r="E147" s="37" t="s">
        <v>81</v>
      </c>
      <c r="F147" s="37" t="s">
        <v>63</v>
      </c>
      <c r="G147" s="77">
        <v>70</v>
      </c>
      <c r="H147" s="78">
        <v>644.12</v>
      </c>
      <c r="I147" s="78">
        <v>45088.7</v>
      </c>
      <c r="J147" s="79">
        <v>8.5400000000000004E-2</v>
      </c>
      <c r="K147" s="78">
        <v>41237.39</v>
      </c>
      <c r="L147" s="78">
        <v>804.78</v>
      </c>
      <c r="M147" s="78">
        <v>42042.18</v>
      </c>
      <c r="N147" s="78">
        <v>494848.7</v>
      </c>
      <c r="O147" s="78">
        <v>41237.39</v>
      </c>
      <c r="P147" s="37" t="s">
        <v>262</v>
      </c>
      <c r="Q147" s="80">
        <v>45778</v>
      </c>
      <c r="R147" s="37">
        <v>2025</v>
      </c>
      <c r="S147" s="37">
        <v>5</v>
      </c>
      <c r="T147" s="3"/>
      <c r="U147" s="68" t="b">
        <f t="shared" si="10"/>
        <v>1</v>
      </c>
      <c r="V147" s="68" t="b">
        <f t="shared" si="11"/>
        <v>1</v>
      </c>
      <c r="W147" s="68" t="b">
        <f t="shared" si="12"/>
        <v>1</v>
      </c>
      <c r="X147" s="68" t="b">
        <f t="shared" si="13"/>
        <v>1</v>
      </c>
      <c r="Y147" s="69" t="str">
        <f t="shared" si="14"/>
        <v>✅ PASS</v>
      </c>
    </row>
    <row r="148" spans="1:25" ht="15" customHeight="1" x14ac:dyDescent="0.25">
      <c r="A148" s="70"/>
      <c r="B148" s="33" t="s">
        <v>138</v>
      </c>
      <c r="C148" s="33" t="s">
        <v>61</v>
      </c>
      <c r="D148" s="33" t="s">
        <v>68</v>
      </c>
      <c r="E148" s="33" t="s">
        <v>81</v>
      </c>
      <c r="F148" s="33" t="s">
        <v>69</v>
      </c>
      <c r="G148" s="71">
        <v>57</v>
      </c>
      <c r="H148" s="72">
        <v>1012.32</v>
      </c>
      <c r="I148" s="72">
        <v>57702.09</v>
      </c>
      <c r="J148" s="73">
        <v>3.7400000000000003E-2</v>
      </c>
      <c r="K148" s="72">
        <v>55542.400000000001</v>
      </c>
      <c r="L148" s="72">
        <v>-1683.85</v>
      </c>
      <c r="M148" s="72">
        <v>53858.55</v>
      </c>
      <c r="N148" s="72">
        <v>666508.75</v>
      </c>
      <c r="O148" s="72">
        <v>55542.400000000001</v>
      </c>
      <c r="P148" s="33" t="s">
        <v>262</v>
      </c>
      <c r="Q148" s="74">
        <v>45778</v>
      </c>
      <c r="R148" s="33">
        <v>2025</v>
      </c>
      <c r="S148" s="33">
        <v>5</v>
      </c>
      <c r="T148" s="3"/>
      <c r="U148" s="67" t="b">
        <f t="shared" si="10"/>
        <v>1</v>
      </c>
      <c r="V148" s="67" t="b">
        <f t="shared" si="11"/>
        <v>1</v>
      </c>
      <c r="W148" s="67" t="b">
        <f t="shared" si="12"/>
        <v>1</v>
      </c>
      <c r="X148" s="67" t="b">
        <f t="shared" si="13"/>
        <v>1</v>
      </c>
      <c r="Y148" s="75" t="str">
        <f t="shared" si="14"/>
        <v>✅ PASS</v>
      </c>
    </row>
    <row r="149" spans="1:25" ht="15" customHeight="1" x14ac:dyDescent="0.25">
      <c r="A149" s="76"/>
      <c r="B149" s="37" t="s">
        <v>138</v>
      </c>
      <c r="C149" s="37" t="s">
        <v>67</v>
      </c>
      <c r="D149" s="37" t="s">
        <v>65</v>
      </c>
      <c r="E149" s="37" t="s">
        <v>81</v>
      </c>
      <c r="F149" s="37" t="s">
        <v>63</v>
      </c>
      <c r="G149" s="77">
        <v>230</v>
      </c>
      <c r="H149" s="78">
        <v>830.85</v>
      </c>
      <c r="I149" s="78">
        <v>191094.39</v>
      </c>
      <c r="J149" s="82">
        <v>0.122</v>
      </c>
      <c r="K149" s="78">
        <v>167787.71</v>
      </c>
      <c r="L149" s="78">
        <v>18838.509999999998</v>
      </c>
      <c r="M149" s="78">
        <v>186626.22</v>
      </c>
      <c r="N149" s="78">
        <v>2013452.54</v>
      </c>
      <c r="O149" s="78">
        <v>167787.71</v>
      </c>
      <c r="P149" s="37" t="s">
        <v>262</v>
      </c>
      <c r="Q149" s="80">
        <v>45778</v>
      </c>
      <c r="R149" s="37">
        <v>2025</v>
      </c>
      <c r="S149" s="37">
        <v>5</v>
      </c>
      <c r="T149" s="3"/>
      <c r="U149" s="68" t="b">
        <f t="shared" si="10"/>
        <v>1</v>
      </c>
      <c r="V149" s="68" t="b">
        <f t="shared" si="11"/>
        <v>1</v>
      </c>
      <c r="W149" s="68" t="b">
        <f t="shared" si="12"/>
        <v>1</v>
      </c>
      <c r="X149" s="68" t="b">
        <f t="shared" si="13"/>
        <v>1</v>
      </c>
      <c r="Y149" s="69" t="str">
        <f t="shared" si="14"/>
        <v>✅ PASS</v>
      </c>
    </row>
    <row r="150" spans="1:25" ht="15" customHeight="1" x14ac:dyDescent="0.25">
      <c r="A150" s="70"/>
      <c r="B150" s="33" t="s">
        <v>138</v>
      </c>
      <c r="C150" s="33" t="s">
        <v>67</v>
      </c>
      <c r="D150" s="33" t="s">
        <v>62</v>
      </c>
      <c r="E150" s="33" t="s">
        <v>75</v>
      </c>
      <c r="F150" s="33" t="s">
        <v>63</v>
      </c>
      <c r="G150" s="71">
        <v>246</v>
      </c>
      <c r="H150" s="72">
        <v>1151.46</v>
      </c>
      <c r="I150" s="72">
        <v>283260.21000000002</v>
      </c>
      <c r="J150" s="81">
        <v>0.16220000000000001</v>
      </c>
      <c r="K150" s="72">
        <v>237314.83</v>
      </c>
      <c r="L150" s="72">
        <v>4241.28</v>
      </c>
      <c r="M150" s="72">
        <v>241556.11</v>
      </c>
      <c r="N150" s="72">
        <v>2847777.93</v>
      </c>
      <c r="O150" s="72">
        <v>237314.83</v>
      </c>
      <c r="P150" s="33" t="s">
        <v>262</v>
      </c>
      <c r="Q150" s="74">
        <v>45778</v>
      </c>
      <c r="R150" s="33">
        <v>2025</v>
      </c>
      <c r="S150" s="33">
        <v>5</v>
      </c>
      <c r="T150" s="3"/>
      <c r="U150" s="67" t="b">
        <f t="shared" si="10"/>
        <v>1</v>
      </c>
      <c r="V150" s="67" t="b">
        <f t="shared" si="11"/>
        <v>1</v>
      </c>
      <c r="W150" s="67" t="b">
        <f t="shared" si="12"/>
        <v>1</v>
      </c>
      <c r="X150" s="67" t="b">
        <f t="shared" si="13"/>
        <v>1</v>
      </c>
      <c r="Y150" s="75" t="str">
        <f t="shared" si="14"/>
        <v>✅ PASS</v>
      </c>
    </row>
    <row r="151" spans="1:25" ht="15" customHeight="1" x14ac:dyDescent="0.25">
      <c r="A151" s="76"/>
      <c r="B151" s="37" t="s">
        <v>138</v>
      </c>
      <c r="C151" s="37" t="s">
        <v>67</v>
      </c>
      <c r="D151" s="37" t="s">
        <v>68</v>
      </c>
      <c r="E151" s="37" t="s">
        <v>78</v>
      </c>
      <c r="F151" s="37" t="s">
        <v>69</v>
      </c>
      <c r="G151" s="77">
        <v>57</v>
      </c>
      <c r="H151" s="78">
        <v>426.52</v>
      </c>
      <c r="I151" s="78">
        <v>24311.58</v>
      </c>
      <c r="J151" s="82">
        <v>0.18479999999999999</v>
      </c>
      <c r="K151" s="78">
        <v>19818.03</v>
      </c>
      <c r="L151" s="78">
        <v>-171.03</v>
      </c>
      <c r="M151" s="78">
        <v>19647</v>
      </c>
      <c r="N151" s="78">
        <v>237816.36</v>
      </c>
      <c r="O151" s="78">
        <v>19818.03</v>
      </c>
      <c r="P151" s="37" t="s">
        <v>262</v>
      </c>
      <c r="Q151" s="80">
        <v>45778</v>
      </c>
      <c r="R151" s="37">
        <v>2025</v>
      </c>
      <c r="S151" s="37">
        <v>5</v>
      </c>
      <c r="T151" s="3"/>
      <c r="U151" s="68" t="b">
        <f t="shared" si="10"/>
        <v>1</v>
      </c>
      <c r="V151" s="68" t="b">
        <f t="shared" si="11"/>
        <v>1</v>
      </c>
      <c r="W151" s="68" t="b">
        <f t="shared" si="12"/>
        <v>1</v>
      </c>
      <c r="X151" s="68" t="b">
        <f t="shared" si="13"/>
        <v>1</v>
      </c>
      <c r="Y151" s="69" t="str">
        <f t="shared" si="14"/>
        <v>✅ PASS</v>
      </c>
    </row>
    <row r="152" spans="1:25" ht="15" customHeight="1" x14ac:dyDescent="0.25">
      <c r="A152" s="70"/>
      <c r="B152" s="33" t="s">
        <v>138</v>
      </c>
      <c r="C152" s="33" t="s">
        <v>64</v>
      </c>
      <c r="D152" s="33" t="s">
        <v>65</v>
      </c>
      <c r="E152" s="33" t="s">
        <v>81</v>
      </c>
      <c r="F152" s="33" t="s">
        <v>66</v>
      </c>
      <c r="G152" s="71">
        <v>111</v>
      </c>
      <c r="H152" s="72">
        <v>641.67999999999995</v>
      </c>
      <c r="I152" s="72">
        <v>71226.460000000006</v>
      </c>
      <c r="J152" s="73">
        <v>9.9199999999999997E-2</v>
      </c>
      <c r="K152" s="72">
        <v>64158.71</v>
      </c>
      <c r="L152" s="72">
        <v>9142.08</v>
      </c>
      <c r="M152" s="72">
        <v>73300.789999999994</v>
      </c>
      <c r="N152" s="72">
        <v>769904.54</v>
      </c>
      <c r="O152" s="72">
        <v>64158.71</v>
      </c>
      <c r="P152" s="33" t="s">
        <v>262</v>
      </c>
      <c r="Q152" s="74">
        <v>45778</v>
      </c>
      <c r="R152" s="33">
        <v>2025</v>
      </c>
      <c r="S152" s="33">
        <v>5</v>
      </c>
      <c r="T152" s="3"/>
      <c r="U152" s="67" t="b">
        <f t="shared" si="10"/>
        <v>1</v>
      </c>
      <c r="V152" s="67" t="b">
        <f t="shared" si="11"/>
        <v>1</v>
      </c>
      <c r="W152" s="67" t="b">
        <f t="shared" si="12"/>
        <v>1</v>
      </c>
      <c r="X152" s="67" t="b">
        <f t="shared" si="13"/>
        <v>1</v>
      </c>
      <c r="Y152" s="75" t="str">
        <f t="shared" si="14"/>
        <v>✅ PASS</v>
      </c>
    </row>
    <row r="153" spans="1:25" ht="15" customHeight="1" x14ac:dyDescent="0.25">
      <c r="A153" s="76"/>
      <c r="B153" s="37" t="s">
        <v>138</v>
      </c>
      <c r="C153" s="37" t="s">
        <v>64</v>
      </c>
      <c r="D153" s="37" t="s">
        <v>62</v>
      </c>
      <c r="E153" s="37" t="s">
        <v>78</v>
      </c>
      <c r="F153" s="37" t="s">
        <v>66</v>
      </c>
      <c r="G153" s="77">
        <v>236</v>
      </c>
      <c r="H153" s="78">
        <v>919.86</v>
      </c>
      <c r="I153" s="78">
        <v>217087.32</v>
      </c>
      <c r="J153" s="82">
        <v>0.2155</v>
      </c>
      <c r="K153" s="78">
        <v>170307.57</v>
      </c>
      <c r="L153" s="78">
        <v>17856.75</v>
      </c>
      <c r="M153" s="78">
        <v>188164.32</v>
      </c>
      <c r="N153" s="78">
        <v>2043690.88</v>
      </c>
      <c r="O153" s="78">
        <v>170307.57</v>
      </c>
      <c r="P153" s="37" t="s">
        <v>262</v>
      </c>
      <c r="Q153" s="80">
        <v>45778</v>
      </c>
      <c r="R153" s="37">
        <v>2025</v>
      </c>
      <c r="S153" s="37">
        <v>5</v>
      </c>
      <c r="T153" s="3"/>
      <c r="U153" s="68" t="b">
        <f t="shared" si="10"/>
        <v>1</v>
      </c>
      <c r="V153" s="68" t="b">
        <f t="shared" si="11"/>
        <v>1</v>
      </c>
      <c r="W153" s="68" t="b">
        <f t="shared" si="12"/>
        <v>1</v>
      </c>
      <c r="X153" s="68" t="b">
        <f t="shared" si="13"/>
        <v>1</v>
      </c>
      <c r="Y153" s="69" t="str">
        <f t="shared" si="14"/>
        <v>✅ PASS</v>
      </c>
    </row>
    <row r="154" spans="1:25" ht="15" customHeight="1" x14ac:dyDescent="0.25">
      <c r="A154" s="70"/>
      <c r="B154" s="33" t="s">
        <v>138</v>
      </c>
      <c r="C154" s="33" t="s">
        <v>64</v>
      </c>
      <c r="D154" s="33" t="s">
        <v>68</v>
      </c>
      <c r="E154" s="33" t="s">
        <v>78</v>
      </c>
      <c r="F154" s="33" t="s">
        <v>69</v>
      </c>
      <c r="G154" s="71">
        <v>229</v>
      </c>
      <c r="H154" s="72">
        <v>208.38</v>
      </c>
      <c r="I154" s="72">
        <v>47718.239999999998</v>
      </c>
      <c r="J154" s="81">
        <v>0.22509999999999999</v>
      </c>
      <c r="K154" s="72">
        <v>36978.93</v>
      </c>
      <c r="L154" s="72">
        <v>-3435.37</v>
      </c>
      <c r="M154" s="72">
        <v>33543.56</v>
      </c>
      <c r="N154" s="72">
        <v>443747.2</v>
      </c>
      <c r="O154" s="72">
        <v>36978.93</v>
      </c>
      <c r="P154" s="33" t="s">
        <v>262</v>
      </c>
      <c r="Q154" s="74">
        <v>45778</v>
      </c>
      <c r="R154" s="33">
        <v>2025</v>
      </c>
      <c r="S154" s="33">
        <v>5</v>
      </c>
      <c r="T154" s="3"/>
      <c r="U154" s="67" t="b">
        <f t="shared" si="10"/>
        <v>1</v>
      </c>
      <c r="V154" s="67" t="b">
        <f t="shared" si="11"/>
        <v>1</v>
      </c>
      <c r="W154" s="67" t="b">
        <f t="shared" si="12"/>
        <v>1</v>
      </c>
      <c r="X154" s="67" t="b">
        <f t="shared" si="13"/>
        <v>1</v>
      </c>
      <c r="Y154" s="75" t="str">
        <f t="shared" si="14"/>
        <v>✅ PASS</v>
      </c>
    </row>
    <row r="155" spans="1:25" ht="15" customHeight="1" x14ac:dyDescent="0.25">
      <c r="A155" s="76"/>
      <c r="B155" s="37" t="s">
        <v>139</v>
      </c>
      <c r="C155" s="37" t="s">
        <v>61</v>
      </c>
      <c r="D155" s="37" t="s">
        <v>65</v>
      </c>
      <c r="E155" s="37" t="s">
        <v>75</v>
      </c>
      <c r="F155" s="37" t="s">
        <v>66</v>
      </c>
      <c r="G155" s="77">
        <v>255</v>
      </c>
      <c r="H155" s="78">
        <v>1063.8599999999999</v>
      </c>
      <c r="I155" s="78">
        <v>271283.34000000003</v>
      </c>
      <c r="J155" s="79">
        <v>8.2799999999999999E-2</v>
      </c>
      <c r="K155" s="78">
        <v>248818.08</v>
      </c>
      <c r="L155" s="78">
        <v>9468.4599999999991</v>
      </c>
      <c r="M155" s="78">
        <v>258286.54</v>
      </c>
      <c r="N155" s="78">
        <v>2985816.97</v>
      </c>
      <c r="O155" s="78">
        <v>248818.08</v>
      </c>
      <c r="P155" s="37" t="s">
        <v>262</v>
      </c>
      <c r="Q155" s="80">
        <v>45809</v>
      </c>
      <c r="R155" s="37">
        <v>2025</v>
      </c>
      <c r="S155" s="37">
        <v>6</v>
      </c>
      <c r="T155" s="3"/>
      <c r="U155" s="68" t="b">
        <f t="shared" si="10"/>
        <v>1</v>
      </c>
      <c r="V155" s="68" t="b">
        <f t="shared" si="11"/>
        <v>1</v>
      </c>
      <c r="W155" s="68" t="b">
        <f t="shared" si="12"/>
        <v>1</v>
      </c>
      <c r="X155" s="68" t="b">
        <f t="shared" si="13"/>
        <v>1</v>
      </c>
      <c r="Y155" s="69" t="str">
        <f t="shared" si="14"/>
        <v>✅ PASS</v>
      </c>
    </row>
    <row r="156" spans="1:25" ht="15" customHeight="1" x14ac:dyDescent="0.25">
      <c r="A156" s="70"/>
      <c r="B156" s="33" t="s">
        <v>139</v>
      </c>
      <c r="C156" s="33" t="s">
        <v>61</v>
      </c>
      <c r="D156" s="33" t="s">
        <v>62</v>
      </c>
      <c r="E156" s="33" t="s">
        <v>81</v>
      </c>
      <c r="F156" s="33" t="s">
        <v>66</v>
      </c>
      <c r="G156" s="71">
        <v>94</v>
      </c>
      <c r="H156" s="72">
        <v>594.66</v>
      </c>
      <c r="I156" s="72">
        <v>55897.88</v>
      </c>
      <c r="J156" s="81">
        <v>0.17899999999999999</v>
      </c>
      <c r="K156" s="72">
        <v>45891.08</v>
      </c>
      <c r="L156" s="72">
        <v>14.94</v>
      </c>
      <c r="M156" s="72">
        <v>45906.02</v>
      </c>
      <c r="N156" s="72">
        <v>550692.92000000004</v>
      </c>
      <c r="O156" s="72">
        <v>45891.08</v>
      </c>
      <c r="P156" s="33" t="s">
        <v>262</v>
      </c>
      <c r="Q156" s="74">
        <v>45809</v>
      </c>
      <c r="R156" s="33">
        <v>2025</v>
      </c>
      <c r="S156" s="33">
        <v>6</v>
      </c>
      <c r="T156" s="3"/>
      <c r="U156" s="67" t="b">
        <f t="shared" si="10"/>
        <v>1</v>
      </c>
      <c r="V156" s="67" t="b">
        <f t="shared" si="11"/>
        <v>1</v>
      </c>
      <c r="W156" s="67" t="b">
        <f t="shared" si="12"/>
        <v>1</v>
      </c>
      <c r="X156" s="67" t="b">
        <f t="shared" si="13"/>
        <v>1</v>
      </c>
      <c r="Y156" s="75" t="str">
        <f t="shared" si="14"/>
        <v>✅ PASS</v>
      </c>
    </row>
    <row r="157" spans="1:25" ht="15" customHeight="1" x14ac:dyDescent="0.25">
      <c r="A157" s="76"/>
      <c r="B157" s="37" t="s">
        <v>139</v>
      </c>
      <c r="C157" s="37" t="s">
        <v>61</v>
      </c>
      <c r="D157" s="37" t="s">
        <v>68</v>
      </c>
      <c r="E157" s="37" t="s">
        <v>81</v>
      </c>
      <c r="F157" s="37" t="s">
        <v>63</v>
      </c>
      <c r="G157" s="77">
        <v>175</v>
      </c>
      <c r="H157" s="78">
        <v>403.84</v>
      </c>
      <c r="I157" s="78">
        <v>70671.81</v>
      </c>
      <c r="J157" s="79">
        <v>0.10150000000000001</v>
      </c>
      <c r="K157" s="78">
        <v>63496.98</v>
      </c>
      <c r="L157" s="78">
        <v>-88.33</v>
      </c>
      <c r="M157" s="78">
        <v>63408.65</v>
      </c>
      <c r="N157" s="78">
        <v>761963.79</v>
      </c>
      <c r="O157" s="78">
        <v>63496.98</v>
      </c>
      <c r="P157" s="37" t="s">
        <v>262</v>
      </c>
      <c r="Q157" s="80">
        <v>45809</v>
      </c>
      <c r="R157" s="37">
        <v>2025</v>
      </c>
      <c r="S157" s="37">
        <v>6</v>
      </c>
      <c r="T157" s="3"/>
      <c r="U157" s="68" t="b">
        <f t="shared" si="10"/>
        <v>1</v>
      </c>
      <c r="V157" s="68" t="b">
        <f t="shared" si="11"/>
        <v>1</v>
      </c>
      <c r="W157" s="68" t="b">
        <f t="shared" si="12"/>
        <v>1</v>
      </c>
      <c r="X157" s="68" t="b">
        <f t="shared" si="13"/>
        <v>1</v>
      </c>
      <c r="Y157" s="69" t="str">
        <f t="shared" si="14"/>
        <v>✅ PASS</v>
      </c>
    </row>
    <row r="158" spans="1:25" ht="15" customHeight="1" x14ac:dyDescent="0.25">
      <c r="A158" s="70"/>
      <c r="B158" s="33" t="s">
        <v>139</v>
      </c>
      <c r="C158" s="33" t="s">
        <v>67</v>
      </c>
      <c r="D158" s="33" t="s">
        <v>65</v>
      </c>
      <c r="E158" s="33" t="s">
        <v>81</v>
      </c>
      <c r="F158" s="33" t="s">
        <v>66</v>
      </c>
      <c r="G158" s="71">
        <v>187</v>
      </c>
      <c r="H158" s="72">
        <v>642</v>
      </c>
      <c r="I158" s="72">
        <v>120054.51</v>
      </c>
      <c r="J158" s="81">
        <v>0.19589999999999999</v>
      </c>
      <c r="K158" s="72">
        <v>96530.77</v>
      </c>
      <c r="L158" s="72">
        <v>5755.78</v>
      </c>
      <c r="M158" s="72">
        <v>102286.55</v>
      </c>
      <c r="N158" s="72">
        <v>1158369.19</v>
      </c>
      <c r="O158" s="72">
        <v>96530.77</v>
      </c>
      <c r="P158" s="33" t="s">
        <v>262</v>
      </c>
      <c r="Q158" s="74">
        <v>45809</v>
      </c>
      <c r="R158" s="33">
        <v>2025</v>
      </c>
      <c r="S158" s="33">
        <v>6</v>
      </c>
      <c r="T158" s="3"/>
      <c r="U158" s="67" t="b">
        <f t="shared" si="10"/>
        <v>1</v>
      </c>
      <c r="V158" s="67" t="b">
        <f t="shared" si="11"/>
        <v>1</v>
      </c>
      <c r="W158" s="67" t="b">
        <f t="shared" si="12"/>
        <v>1</v>
      </c>
      <c r="X158" s="67" t="b">
        <f t="shared" si="13"/>
        <v>1</v>
      </c>
      <c r="Y158" s="75" t="str">
        <f t="shared" si="14"/>
        <v>✅ PASS</v>
      </c>
    </row>
    <row r="159" spans="1:25" ht="15" customHeight="1" x14ac:dyDescent="0.25">
      <c r="A159" s="76"/>
      <c r="B159" s="37" t="s">
        <v>139</v>
      </c>
      <c r="C159" s="37" t="s">
        <v>67</v>
      </c>
      <c r="D159" s="37" t="s">
        <v>62</v>
      </c>
      <c r="E159" s="37" t="s">
        <v>81</v>
      </c>
      <c r="F159" s="37" t="s">
        <v>69</v>
      </c>
      <c r="G159" s="77">
        <v>156</v>
      </c>
      <c r="H159" s="78">
        <v>830.56</v>
      </c>
      <c r="I159" s="78">
        <v>129567.51</v>
      </c>
      <c r="J159" s="79">
        <v>0.1048</v>
      </c>
      <c r="K159" s="78">
        <v>115983.94</v>
      </c>
      <c r="L159" s="78">
        <v>-5026.0600000000004</v>
      </c>
      <c r="M159" s="78">
        <v>110957.88</v>
      </c>
      <c r="N159" s="78">
        <v>1391807.3</v>
      </c>
      <c r="O159" s="78">
        <v>115983.94</v>
      </c>
      <c r="P159" s="37" t="s">
        <v>262</v>
      </c>
      <c r="Q159" s="80">
        <v>45809</v>
      </c>
      <c r="R159" s="37">
        <v>2025</v>
      </c>
      <c r="S159" s="37">
        <v>6</v>
      </c>
      <c r="T159" s="3"/>
      <c r="U159" s="68" t="b">
        <f t="shared" si="10"/>
        <v>1</v>
      </c>
      <c r="V159" s="68" t="b">
        <f t="shared" si="11"/>
        <v>1</v>
      </c>
      <c r="W159" s="68" t="b">
        <f t="shared" si="12"/>
        <v>1</v>
      </c>
      <c r="X159" s="68" t="b">
        <f t="shared" si="13"/>
        <v>1</v>
      </c>
      <c r="Y159" s="69" t="str">
        <f t="shared" si="14"/>
        <v>✅ PASS</v>
      </c>
    </row>
    <row r="160" spans="1:25" ht="15" customHeight="1" x14ac:dyDescent="0.25">
      <c r="A160" s="70"/>
      <c r="B160" s="33" t="s">
        <v>139</v>
      </c>
      <c r="C160" s="33" t="s">
        <v>67</v>
      </c>
      <c r="D160" s="33" t="s">
        <v>68</v>
      </c>
      <c r="E160" s="33" t="s">
        <v>75</v>
      </c>
      <c r="F160" s="33" t="s">
        <v>63</v>
      </c>
      <c r="G160" s="71">
        <v>243</v>
      </c>
      <c r="H160" s="72">
        <v>226.93</v>
      </c>
      <c r="I160" s="72">
        <v>55145.08</v>
      </c>
      <c r="J160" s="73">
        <v>4.3499999999999997E-2</v>
      </c>
      <c r="K160" s="72">
        <v>52747.18</v>
      </c>
      <c r="L160" s="72">
        <v>-3386.67</v>
      </c>
      <c r="M160" s="72">
        <v>49360.5</v>
      </c>
      <c r="N160" s="72">
        <v>632966.12</v>
      </c>
      <c r="O160" s="72">
        <v>52747.18</v>
      </c>
      <c r="P160" s="33" t="s">
        <v>262</v>
      </c>
      <c r="Q160" s="74">
        <v>45809</v>
      </c>
      <c r="R160" s="33">
        <v>2025</v>
      </c>
      <c r="S160" s="33">
        <v>6</v>
      </c>
      <c r="T160" s="3"/>
      <c r="U160" s="67" t="b">
        <f t="shared" si="10"/>
        <v>1</v>
      </c>
      <c r="V160" s="67" t="b">
        <f t="shared" si="11"/>
        <v>1</v>
      </c>
      <c r="W160" s="67" t="b">
        <f t="shared" si="12"/>
        <v>1</v>
      </c>
      <c r="X160" s="67" t="b">
        <f t="shared" si="13"/>
        <v>1</v>
      </c>
      <c r="Y160" s="75" t="str">
        <f t="shared" si="14"/>
        <v>✅ PASS</v>
      </c>
    </row>
    <row r="161" spans="1:25" ht="15" customHeight="1" x14ac:dyDescent="0.25">
      <c r="A161" s="76"/>
      <c r="B161" s="37" t="s">
        <v>139</v>
      </c>
      <c r="C161" s="37" t="s">
        <v>64</v>
      </c>
      <c r="D161" s="37" t="s">
        <v>65</v>
      </c>
      <c r="E161" s="37" t="s">
        <v>75</v>
      </c>
      <c r="F161" s="37" t="s">
        <v>63</v>
      </c>
      <c r="G161" s="77">
        <v>255</v>
      </c>
      <c r="H161" s="78">
        <v>744.96</v>
      </c>
      <c r="I161" s="78">
        <v>189963.71</v>
      </c>
      <c r="J161" s="82">
        <v>0.13550000000000001</v>
      </c>
      <c r="K161" s="78">
        <v>164232.81</v>
      </c>
      <c r="L161" s="78">
        <v>24053.24</v>
      </c>
      <c r="M161" s="78">
        <v>188286.06</v>
      </c>
      <c r="N161" s="78">
        <v>1970793.77</v>
      </c>
      <c r="O161" s="78">
        <v>164232.81</v>
      </c>
      <c r="P161" s="37" t="s">
        <v>262</v>
      </c>
      <c r="Q161" s="80">
        <v>45809</v>
      </c>
      <c r="R161" s="37">
        <v>2025</v>
      </c>
      <c r="S161" s="37">
        <v>6</v>
      </c>
      <c r="T161" s="3"/>
      <c r="U161" s="68" t="b">
        <f t="shared" si="10"/>
        <v>1</v>
      </c>
      <c r="V161" s="68" t="b">
        <f t="shared" si="11"/>
        <v>1</v>
      </c>
      <c r="W161" s="68" t="b">
        <f t="shared" si="12"/>
        <v>1</v>
      </c>
      <c r="X161" s="68" t="b">
        <f t="shared" si="13"/>
        <v>1</v>
      </c>
      <c r="Y161" s="69" t="str">
        <f t="shared" si="14"/>
        <v>✅ PASS</v>
      </c>
    </row>
    <row r="162" spans="1:25" ht="15" customHeight="1" x14ac:dyDescent="0.25">
      <c r="A162" s="70"/>
      <c r="B162" s="33" t="s">
        <v>139</v>
      </c>
      <c r="C162" s="33" t="s">
        <v>64</v>
      </c>
      <c r="D162" s="33" t="s">
        <v>62</v>
      </c>
      <c r="E162" s="33" t="s">
        <v>78</v>
      </c>
      <c r="F162" s="33" t="s">
        <v>63</v>
      </c>
      <c r="G162" s="71">
        <v>196</v>
      </c>
      <c r="H162" s="72">
        <v>239.11</v>
      </c>
      <c r="I162" s="72">
        <v>46865.22</v>
      </c>
      <c r="J162" s="73">
        <v>9.2600000000000002E-2</v>
      </c>
      <c r="K162" s="72">
        <v>42524.89</v>
      </c>
      <c r="L162" s="72">
        <v>1115.82</v>
      </c>
      <c r="M162" s="72">
        <v>43640.71</v>
      </c>
      <c r="N162" s="72">
        <v>510298.7</v>
      </c>
      <c r="O162" s="72">
        <v>42524.89</v>
      </c>
      <c r="P162" s="33" t="s">
        <v>262</v>
      </c>
      <c r="Q162" s="74">
        <v>45809</v>
      </c>
      <c r="R162" s="33">
        <v>2025</v>
      </c>
      <c r="S162" s="33">
        <v>6</v>
      </c>
      <c r="T162" s="3"/>
      <c r="U162" s="67" t="b">
        <f t="shared" si="10"/>
        <v>1</v>
      </c>
      <c r="V162" s="67" t="b">
        <f t="shared" si="11"/>
        <v>1</v>
      </c>
      <c r="W162" s="67" t="b">
        <f t="shared" si="12"/>
        <v>1</v>
      </c>
      <c r="X162" s="67" t="b">
        <f t="shared" si="13"/>
        <v>1</v>
      </c>
      <c r="Y162" s="75" t="str">
        <f t="shared" si="14"/>
        <v>✅ PASS</v>
      </c>
    </row>
    <row r="163" spans="1:25" ht="15" customHeight="1" x14ac:dyDescent="0.25">
      <c r="A163" s="76"/>
      <c r="B163" s="37" t="s">
        <v>139</v>
      </c>
      <c r="C163" s="37" t="s">
        <v>64</v>
      </c>
      <c r="D163" s="37" t="s">
        <v>68</v>
      </c>
      <c r="E163" s="37" t="s">
        <v>81</v>
      </c>
      <c r="F163" s="37" t="s">
        <v>69</v>
      </c>
      <c r="G163" s="77">
        <v>253</v>
      </c>
      <c r="H163" s="78">
        <v>1141.9100000000001</v>
      </c>
      <c r="I163" s="78">
        <v>288902.94</v>
      </c>
      <c r="J163" s="79">
        <v>0.1113</v>
      </c>
      <c r="K163" s="78">
        <v>256758.23</v>
      </c>
      <c r="L163" s="78">
        <v>25430.1</v>
      </c>
      <c r="M163" s="78">
        <v>282188.32</v>
      </c>
      <c r="N163" s="78">
        <v>3081098.71</v>
      </c>
      <c r="O163" s="78">
        <v>256758.23</v>
      </c>
      <c r="P163" s="37" t="s">
        <v>262</v>
      </c>
      <c r="Q163" s="80">
        <v>45809</v>
      </c>
      <c r="R163" s="37">
        <v>2025</v>
      </c>
      <c r="S163" s="37">
        <v>6</v>
      </c>
      <c r="T163" s="3"/>
      <c r="U163" s="68" t="b">
        <f t="shared" si="10"/>
        <v>1</v>
      </c>
      <c r="V163" s="68" t="b">
        <f t="shared" si="11"/>
        <v>1</v>
      </c>
      <c r="W163" s="68" t="b">
        <f t="shared" si="12"/>
        <v>1</v>
      </c>
      <c r="X163" s="68" t="b">
        <f t="shared" si="13"/>
        <v>1</v>
      </c>
      <c r="Y163" s="69" t="str">
        <f t="shared" si="14"/>
        <v>✅ PASS</v>
      </c>
    </row>
    <row r="164" spans="1:25" ht="15" customHeight="1" x14ac:dyDescent="0.25">
      <c r="A164" s="70"/>
      <c r="B164" s="33" t="s">
        <v>140</v>
      </c>
      <c r="C164" s="33" t="s">
        <v>61</v>
      </c>
      <c r="D164" s="33" t="s">
        <v>65</v>
      </c>
      <c r="E164" s="33" t="s">
        <v>75</v>
      </c>
      <c r="F164" s="33" t="s">
        <v>69</v>
      </c>
      <c r="G164" s="71">
        <v>258</v>
      </c>
      <c r="H164" s="72">
        <v>755.54</v>
      </c>
      <c r="I164" s="72">
        <v>194930.58</v>
      </c>
      <c r="J164" s="73">
        <v>1.5699999999999999E-2</v>
      </c>
      <c r="K164" s="72">
        <v>191869.36</v>
      </c>
      <c r="L164" s="72">
        <v>19813.79</v>
      </c>
      <c r="M164" s="72">
        <v>211683.14</v>
      </c>
      <c r="N164" s="72">
        <v>2302432.29</v>
      </c>
      <c r="O164" s="72">
        <v>191869.36</v>
      </c>
      <c r="P164" s="33" t="s">
        <v>262</v>
      </c>
      <c r="Q164" s="74">
        <v>45839</v>
      </c>
      <c r="R164" s="33">
        <v>2025</v>
      </c>
      <c r="S164" s="33">
        <v>7</v>
      </c>
      <c r="T164" s="3"/>
      <c r="U164" s="67" t="b">
        <f t="shared" si="10"/>
        <v>1</v>
      </c>
      <c r="V164" s="67" t="b">
        <f t="shared" si="11"/>
        <v>1</v>
      </c>
      <c r="W164" s="67" t="b">
        <f t="shared" si="12"/>
        <v>1</v>
      </c>
      <c r="X164" s="67" t="b">
        <f t="shared" si="13"/>
        <v>1</v>
      </c>
      <c r="Y164" s="75" t="str">
        <f t="shared" si="14"/>
        <v>✅ PASS</v>
      </c>
    </row>
    <row r="165" spans="1:25" ht="15" customHeight="1" x14ac:dyDescent="0.25">
      <c r="A165" s="76"/>
      <c r="B165" s="37" t="s">
        <v>140</v>
      </c>
      <c r="C165" s="37" t="s">
        <v>61</v>
      </c>
      <c r="D165" s="37" t="s">
        <v>62</v>
      </c>
      <c r="E165" s="37" t="s">
        <v>81</v>
      </c>
      <c r="F165" s="37" t="s">
        <v>63</v>
      </c>
      <c r="G165" s="77">
        <v>138</v>
      </c>
      <c r="H165" s="78">
        <v>278.57</v>
      </c>
      <c r="I165" s="78">
        <v>38442.050000000003</v>
      </c>
      <c r="J165" s="79">
        <v>7.8299999999999995E-2</v>
      </c>
      <c r="K165" s="78">
        <v>35433.33</v>
      </c>
      <c r="L165" s="78">
        <v>1109.78</v>
      </c>
      <c r="M165" s="78">
        <v>36543.11</v>
      </c>
      <c r="N165" s="78">
        <v>425199.94</v>
      </c>
      <c r="O165" s="78">
        <v>35433.33</v>
      </c>
      <c r="P165" s="37" t="s">
        <v>262</v>
      </c>
      <c r="Q165" s="80">
        <v>45839</v>
      </c>
      <c r="R165" s="37">
        <v>2025</v>
      </c>
      <c r="S165" s="37">
        <v>7</v>
      </c>
      <c r="T165" s="3"/>
      <c r="U165" s="68" t="b">
        <f t="shared" si="10"/>
        <v>1</v>
      </c>
      <c r="V165" s="68" t="b">
        <f t="shared" si="11"/>
        <v>1</v>
      </c>
      <c r="W165" s="68" t="b">
        <f t="shared" si="12"/>
        <v>1</v>
      </c>
      <c r="X165" s="68" t="b">
        <f t="shared" si="13"/>
        <v>1</v>
      </c>
      <c r="Y165" s="69" t="str">
        <f t="shared" si="14"/>
        <v>✅ PASS</v>
      </c>
    </row>
    <row r="166" spans="1:25" ht="15" customHeight="1" x14ac:dyDescent="0.25">
      <c r="A166" s="70"/>
      <c r="B166" s="33" t="s">
        <v>140</v>
      </c>
      <c r="C166" s="33" t="s">
        <v>61</v>
      </c>
      <c r="D166" s="33" t="s">
        <v>68</v>
      </c>
      <c r="E166" s="33" t="s">
        <v>78</v>
      </c>
      <c r="F166" s="33" t="s">
        <v>63</v>
      </c>
      <c r="G166" s="71">
        <v>125</v>
      </c>
      <c r="H166" s="72">
        <v>614.80999999999995</v>
      </c>
      <c r="I166" s="72">
        <v>76850.820000000007</v>
      </c>
      <c r="J166" s="73">
        <v>7.5700000000000003E-2</v>
      </c>
      <c r="K166" s="72">
        <v>71034.61</v>
      </c>
      <c r="L166" s="72">
        <v>-2142.48</v>
      </c>
      <c r="M166" s="72">
        <v>68892.13</v>
      </c>
      <c r="N166" s="72">
        <v>852415.33</v>
      </c>
      <c r="O166" s="72">
        <v>71034.61</v>
      </c>
      <c r="P166" s="33" t="s">
        <v>262</v>
      </c>
      <c r="Q166" s="74">
        <v>45839</v>
      </c>
      <c r="R166" s="33">
        <v>2025</v>
      </c>
      <c r="S166" s="33">
        <v>7</v>
      </c>
      <c r="T166" s="3"/>
      <c r="U166" s="67" t="b">
        <f t="shared" si="10"/>
        <v>1</v>
      </c>
      <c r="V166" s="67" t="b">
        <f t="shared" si="11"/>
        <v>1</v>
      </c>
      <c r="W166" s="67" t="b">
        <f t="shared" si="12"/>
        <v>1</v>
      </c>
      <c r="X166" s="67" t="b">
        <f t="shared" si="13"/>
        <v>1</v>
      </c>
      <c r="Y166" s="75" t="str">
        <f t="shared" si="14"/>
        <v>✅ PASS</v>
      </c>
    </row>
    <row r="167" spans="1:25" ht="15" customHeight="1" x14ac:dyDescent="0.25">
      <c r="A167" s="76"/>
      <c r="B167" s="37" t="s">
        <v>140</v>
      </c>
      <c r="C167" s="37" t="s">
        <v>67</v>
      </c>
      <c r="D167" s="37" t="s">
        <v>65</v>
      </c>
      <c r="E167" s="37" t="s">
        <v>78</v>
      </c>
      <c r="F167" s="37" t="s">
        <v>66</v>
      </c>
      <c r="G167" s="77">
        <v>237</v>
      </c>
      <c r="H167" s="78">
        <v>639.80999999999995</v>
      </c>
      <c r="I167" s="78">
        <v>151634.73000000001</v>
      </c>
      <c r="J167" s="82">
        <v>0.2122</v>
      </c>
      <c r="K167" s="78">
        <v>119461.23</v>
      </c>
      <c r="L167" s="78">
        <v>16621.04</v>
      </c>
      <c r="M167" s="78">
        <v>136082.28</v>
      </c>
      <c r="N167" s="78">
        <v>1433534.79</v>
      </c>
      <c r="O167" s="78">
        <v>119461.23</v>
      </c>
      <c r="P167" s="37" t="s">
        <v>262</v>
      </c>
      <c r="Q167" s="80">
        <v>45839</v>
      </c>
      <c r="R167" s="37">
        <v>2025</v>
      </c>
      <c r="S167" s="37">
        <v>7</v>
      </c>
      <c r="T167" s="3"/>
      <c r="U167" s="68" t="b">
        <f t="shared" si="10"/>
        <v>1</v>
      </c>
      <c r="V167" s="68" t="b">
        <f t="shared" si="11"/>
        <v>1</v>
      </c>
      <c r="W167" s="68" t="b">
        <f t="shared" si="12"/>
        <v>1</v>
      </c>
      <c r="X167" s="68" t="b">
        <f t="shared" si="13"/>
        <v>1</v>
      </c>
      <c r="Y167" s="69" t="str">
        <f t="shared" si="14"/>
        <v>✅ PASS</v>
      </c>
    </row>
    <row r="168" spans="1:25" ht="15" customHeight="1" x14ac:dyDescent="0.25">
      <c r="A168" s="70"/>
      <c r="B168" s="33" t="s">
        <v>140</v>
      </c>
      <c r="C168" s="33" t="s">
        <v>67</v>
      </c>
      <c r="D168" s="33" t="s">
        <v>62</v>
      </c>
      <c r="E168" s="33" t="s">
        <v>78</v>
      </c>
      <c r="F168" s="33" t="s">
        <v>69</v>
      </c>
      <c r="G168" s="71">
        <v>283</v>
      </c>
      <c r="H168" s="72">
        <v>731.27</v>
      </c>
      <c r="I168" s="72">
        <v>206948.68</v>
      </c>
      <c r="J168" s="81">
        <v>0.14860000000000001</v>
      </c>
      <c r="K168" s="72">
        <v>176200.82</v>
      </c>
      <c r="L168" s="72">
        <v>-6949.15</v>
      </c>
      <c r="M168" s="72">
        <v>169251.67</v>
      </c>
      <c r="N168" s="72">
        <v>2114409.7999999998</v>
      </c>
      <c r="O168" s="72">
        <v>176200.82</v>
      </c>
      <c r="P168" s="33" t="s">
        <v>262</v>
      </c>
      <c r="Q168" s="74">
        <v>45839</v>
      </c>
      <c r="R168" s="33">
        <v>2025</v>
      </c>
      <c r="S168" s="33">
        <v>7</v>
      </c>
      <c r="T168" s="3"/>
      <c r="U168" s="67" t="b">
        <f t="shared" si="10"/>
        <v>1</v>
      </c>
      <c r="V168" s="67" t="b">
        <f t="shared" si="11"/>
        <v>1</v>
      </c>
      <c r="W168" s="67" t="b">
        <f t="shared" si="12"/>
        <v>1</v>
      </c>
      <c r="X168" s="67" t="b">
        <f t="shared" si="13"/>
        <v>1</v>
      </c>
      <c r="Y168" s="75" t="str">
        <f t="shared" si="14"/>
        <v>✅ PASS</v>
      </c>
    </row>
    <row r="169" spans="1:25" ht="15" customHeight="1" x14ac:dyDescent="0.25">
      <c r="A169" s="76"/>
      <c r="B169" s="37" t="s">
        <v>140</v>
      </c>
      <c r="C169" s="37" t="s">
        <v>67</v>
      </c>
      <c r="D169" s="37" t="s">
        <v>68</v>
      </c>
      <c r="E169" s="37" t="s">
        <v>78</v>
      </c>
      <c r="F169" s="37" t="s">
        <v>69</v>
      </c>
      <c r="G169" s="77">
        <v>95</v>
      </c>
      <c r="H169" s="78">
        <v>574.03</v>
      </c>
      <c r="I169" s="78">
        <v>54532.5</v>
      </c>
      <c r="J169" s="82">
        <v>0.20669999999999999</v>
      </c>
      <c r="K169" s="78">
        <v>43258.33</v>
      </c>
      <c r="L169" s="78">
        <v>3472.26</v>
      </c>
      <c r="M169" s="78">
        <v>46730.59</v>
      </c>
      <c r="N169" s="78">
        <v>519099.91</v>
      </c>
      <c r="O169" s="78">
        <v>43258.33</v>
      </c>
      <c r="P169" s="37" t="s">
        <v>262</v>
      </c>
      <c r="Q169" s="80">
        <v>45839</v>
      </c>
      <c r="R169" s="37">
        <v>2025</v>
      </c>
      <c r="S169" s="37">
        <v>7</v>
      </c>
      <c r="T169" s="3"/>
      <c r="U169" s="68" t="b">
        <f t="shared" si="10"/>
        <v>1</v>
      </c>
      <c r="V169" s="68" t="b">
        <f t="shared" si="11"/>
        <v>1</v>
      </c>
      <c r="W169" s="68" t="b">
        <f t="shared" si="12"/>
        <v>1</v>
      </c>
      <c r="X169" s="68" t="b">
        <f t="shared" si="13"/>
        <v>1</v>
      </c>
      <c r="Y169" s="69" t="str">
        <f t="shared" si="14"/>
        <v>✅ PASS</v>
      </c>
    </row>
    <row r="170" spans="1:25" ht="15" customHeight="1" x14ac:dyDescent="0.25">
      <c r="A170" s="70"/>
      <c r="B170" s="33" t="s">
        <v>140</v>
      </c>
      <c r="C170" s="33" t="s">
        <v>64</v>
      </c>
      <c r="D170" s="33" t="s">
        <v>65</v>
      </c>
      <c r="E170" s="33" t="s">
        <v>75</v>
      </c>
      <c r="F170" s="33" t="s">
        <v>63</v>
      </c>
      <c r="G170" s="71">
        <v>162</v>
      </c>
      <c r="H170" s="72">
        <v>1082.05</v>
      </c>
      <c r="I170" s="72">
        <v>175292.78</v>
      </c>
      <c r="J170" s="81">
        <v>0.2228</v>
      </c>
      <c r="K170" s="72">
        <v>136235.25</v>
      </c>
      <c r="L170" s="72">
        <v>8727.75</v>
      </c>
      <c r="M170" s="72">
        <v>144963</v>
      </c>
      <c r="N170" s="72">
        <v>1634823.02</v>
      </c>
      <c r="O170" s="72">
        <v>136235.25</v>
      </c>
      <c r="P170" s="33" t="s">
        <v>262</v>
      </c>
      <c r="Q170" s="74">
        <v>45839</v>
      </c>
      <c r="R170" s="33">
        <v>2025</v>
      </c>
      <c r="S170" s="33">
        <v>7</v>
      </c>
      <c r="T170" s="3"/>
      <c r="U170" s="67" t="b">
        <f t="shared" si="10"/>
        <v>1</v>
      </c>
      <c r="V170" s="67" t="b">
        <f t="shared" si="11"/>
        <v>1</v>
      </c>
      <c r="W170" s="67" t="b">
        <f t="shared" si="12"/>
        <v>1</v>
      </c>
      <c r="X170" s="67" t="b">
        <f t="shared" si="13"/>
        <v>1</v>
      </c>
      <c r="Y170" s="75" t="str">
        <f t="shared" si="14"/>
        <v>✅ PASS</v>
      </c>
    </row>
    <row r="171" spans="1:25" ht="15" customHeight="1" x14ac:dyDescent="0.25">
      <c r="A171" s="76"/>
      <c r="B171" s="37" t="s">
        <v>140</v>
      </c>
      <c r="C171" s="37" t="s">
        <v>64</v>
      </c>
      <c r="D171" s="37" t="s">
        <v>62</v>
      </c>
      <c r="E171" s="37" t="s">
        <v>78</v>
      </c>
      <c r="F171" s="37" t="s">
        <v>66</v>
      </c>
      <c r="G171" s="77">
        <v>299</v>
      </c>
      <c r="H171" s="78">
        <v>1004.05</v>
      </c>
      <c r="I171" s="78">
        <v>300210.56</v>
      </c>
      <c r="J171" s="82">
        <v>0.24229999999999999</v>
      </c>
      <c r="K171" s="78">
        <v>227457.78</v>
      </c>
      <c r="L171" s="78">
        <v>-17830.23</v>
      </c>
      <c r="M171" s="78">
        <v>209627.55</v>
      </c>
      <c r="N171" s="78">
        <v>2729493.33</v>
      </c>
      <c r="O171" s="78">
        <v>227457.78</v>
      </c>
      <c r="P171" s="37" t="s">
        <v>262</v>
      </c>
      <c r="Q171" s="80">
        <v>45839</v>
      </c>
      <c r="R171" s="37">
        <v>2025</v>
      </c>
      <c r="S171" s="37">
        <v>7</v>
      </c>
      <c r="T171" s="3"/>
      <c r="U171" s="68" t="b">
        <f t="shared" si="10"/>
        <v>1</v>
      </c>
      <c r="V171" s="68" t="b">
        <f t="shared" si="11"/>
        <v>1</v>
      </c>
      <c r="W171" s="68" t="b">
        <f t="shared" si="12"/>
        <v>1</v>
      </c>
      <c r="X171" s="68" t="b">
        <f t="shared" si="13"/>
        <v>1</v>
      </c>
      <c r="Y171" s="69" t="str">
        <f t="shared" si="14"/>
        <v>✅ PASS</v>
      </c>
    </row>
    <row r="172" spans="1:25" ht="15" customHeight="1" x14ac:dyDescent="0.25">
      <c r="A172" s="70"/>
      <c r="B172" s="33" t="s">
        <v>140</v>
      </c>
      <c r="C172" s="33" t="s">
        <v>64</v>
      </c>
      <c r="D172" s="33" t="s">
        <v>68</v>
      </c>
      <c r="E172" s="33" t="s">
        <v>75</v>
      </c>
      <c r="F172" s="33" t="s">
        <v>66</v>
      </c>
      <c r="G172" s="71">
        <v>211</v>
      </c>
      <c r="H172" s="72">
        <v>227.11</v>
      </c>
      <c r="I172" s="72">
        <v>47920.36</v>
      </c>
      <c r="J172" s="73">
        <v>3.6499999999999998E-2</v>
      </c>
      <c r="K172" s="72">
        <v>46170.720000000001</v>
      </c>
      <c r="L172" s="72">
        <v>-76.06</v>
      </c>
      <c r="M172" s="72">
        <v>46094.67</v>
      </c>
      <c r="N172" s="72">
        <v>554048.68000000005</v>
      </c>
      <c r="O172" s="72">
        <v>46170.720000000001</v>
      </c>
      <c r="P172" s="33" t="s">
        <v>262</v>
      </c>
      <c r="Q172" s="74">
        <v>45839</v>
      </c>
      <c r="R172" s="33">
        <v>2025</v>
      </c>
      <c r="S172" s="33">
        <v>7</v>
      </c>
      <c r="T172" s="3"/>
      <c r="U172" s="67" t="b">
        <f t="shared" si="10"/>
        <v>1</v>
      </c>
      <c r="V172" s="67" t="b">
        <f t="shared" si="11"/>
        <v>1</v>
      </c>
      <c r="W172" s="67" t="b">
        <f t="shared" si="12"/>
        <v>1</v>
      </c>
      <c r="X172" s="67" t="b">
        <f t="shared" si="13"/>
        <v>1</v>
      </c>
      <c r="Y172" s="75" t="str">
        <f t="shared" si="14"/>
        <v>✅ PASS</v>
      </c>
    </row>
    <row r="173" spans="1:25" ht="15" customHeight="1" x14ac:dyDescent="0.25">
      <c r="A173" s="76"/>
      <c r="B173" s="37" t="s">
        <v>141</v>
      </c>
      <c r="C173" s="37" t="s">
        <v>61</v>
      </c>
      <c r="D173" s="37" t="s">
        <v>65</v>
      </c>
      <c r="E173" s="37" t="s">
        <v>81</v>
      </c>
      <c r="F173" s="37" t="s">
        <v>63</v>
      </c>
      <c r="G173" s="77">
        <v>243</v>
      </c>
      <c r="H173" s="78">
        <v>674.05</v>
      </c>
      <c r="I173" s="78">
        <v>163794.97</v>
      </c>
      <c r="J173" s="82">
        <v>0.22339999999999999</v>
      </c>
      <c r="K173" s="78">
        <v>127207.95</v>
      </c>
      <c r="L173" s="78">
        <v>8038.54</v>
      </c>
      <c r="M173" s="78">
        <v>135246.49</v>
      </c>
      <c r="N173" s="78">
        <v>1526495.45</v>
      </c>
      <c r="O173" s="78">
        <v>127207.95</v>
      </c>
      <c r="P173" s="37" t="s">
        <v>262</v>
      </c>
      <c r="Q173" s="80">
        <v>45870</v>
      </c>
      <c r="R173" s="37">
        <v>2025</v>
      </c>
      <c r="S173" s="37">
        <v>8</v>
      </c>
      <c r="T173" s="3"/>
      <c r="U173" s="68" t="b">
        <f t="shared" si="10"/>
        <v>1</v>
      </c>
      <c r="V173" s="68" t="b">
        <f t="shared" si="11"/>
        <v>1</v>
      </c>
      <c r="W173" s="68" t="b">
        <f t="shared" si="12"/>
        <v>1</v>
      </c>
      <c r="X173" s="68" t="b">
        <f t="shared" si="13"/>
        <v>1</v>
      </c>
      <c r="Y173" s="69" t="str">
        <f t="shared" si="14"/>
        <v>✅ PASS</v>
      </c>
    </row>
    <row r="174" spans="1:25" ht="15" customHeight="1" x14ac:dyDescent="0.25">
      <c r="A174" s="70"/>
      <c r="B174" s="33" t="s">
        <v>141</v>
      </c>
      <c r="C174" s="33" t="s">
        <v>61</v>
      </c>
      <c r="D174" s="33" t="s">
        <v>62</v>
      </c>
      <c r="E174" s="33" t="s">
        <v>81</v>
      </c>
      <c r="F174" s="33" t="s">
        <v>63</v>
      </c>
      <c r="G174" s="71">
        <v>244</v>
      </c>
      <c r="H174" s="72">
        <v>957.09</v>
      </c>
      <c r="I174" s="72">
        <v>233530.75</v>
      </c>
      <c r="J174" s="81">
        <v>0.20200000000000001</v>
      </c>
      <c r="K174" s="72">
        <v>186364.28</v>
      </c>
      <c r="L174" s="72">
        <v>5071.43</v>
      </c>
      <c r="M174" s="72">
        <v>191435.72</v>
      </c>
      <c r="N174" s="72">
        <v>2236371.41</v>
      </c>
      <c r="O174" s="72">
        <v>186364.28</v>
      </c>
      <c r="P174" s="33" t="s">
        <v>262</v>
      </c>
      <c r="Q174" s="74">
        <v>45870</v>
      </c>
      <c r="R174" s="33">
        <v>2025</v>
      </c>
      <c r="S174" s="33">
        <v>8</v>
      </c>
      <c r="T174" s="3"/>
      <c r="U174" s="67" t="b">
        <f t="shared" si="10"/>
        <v>1</v>
      </c>
      <c r="V174" s="67" t="b">
        <f t="shared" si="11"/>
        <v>1</v>
      </c>
      <c r="W174" s="67" t="b">
        <f t="shared" si="12"/>
        <v>1</v>
      </c>
      <c r="X174" s="67" t="b">
        <f t="shared" si="13"/>
        <v>1</v>
      </c>
      <c r="Y174" s="75" t="str">
        <f t="shared" si="14"/>
        <v>✅ PASS</v>
      </c>
    </row>
    <row r="175" spans="1:25" ht="15" customHeight="1" x14ac:dyDescent="0.25">
      <c r="A175" s="76"/>
      <c r="B175" s="37" t="s">
        <v>141</v>
      </c>
      <c r="C175" s="37" t="s">
        <v>61</v>
      </c>
      <c r="D175" s="37" t="s">
        <v>68</v>
      </c>
      <c r="E175" s="37" t="s">
        <v>81</v>
      </c>
      <c r="F175" s="37" t="s">
        <v>66</v>
      </c>
      <c r="G175" s="77">
        <v>241</v>
      </c>
      <c r="H175" s="78">
        <v>308.87</v>
      </c>
      <c r="I175" s="78">
        <v>74438.600000000006</v>
      </c>
      <c r="J175" s="79">
        <v>9.2899999999999996E-2</v>
      </c>
      <c r="K175" s="78">
        <v>67525.77</v>
      </c>
      <c r="L175" s="78">
        <v>-234.45</v>
      </c>
      <c r="M175" s="78">
        <v>67291.320000000007</v>
      </c>
      <c r="N175" s="78">
        <v>810309.21</v>
      </c>
      <c r="O175" s="78">
        <v>67525.77</v>
      </c>
      <c r="P175" s="37" t="s">
        <v>262</v>
      </c>
      <c r="Q175" s="80">
        <v>45870</v>
      </c>
      <c r="R175" s="37">
        <v>2025</v>
      </c>
      <c r="S175" s="37">
        <v>8</v>
      </c>
      <c r="T175" s="3"/>
      <c r="U175" s="68" t="b">
        <f t="shared" si="10"/>
        <v>1</v>
      </c>
      <c r="V175" s="68" t="b">
        <f t="shared" si="11"/>
        <v>1</v>
      </c>
      <c r="W175" s="68" t="b">
        <f t="shared" si="12"/>
        <v>1</v>
      </c>
      <c r="X175" s="68" t="b">
        <f t="shared" si="13"/>
        <v>1</v>
      </c>
      <c r="Y175" s="69" t="str">
        <f t="shared" si="14"/>
        <v>✅ PASS</v>
      </c>
    </row>
    <row r="176" spans="1:25" ht="15" customHeight="1" x14ac:dyDescent="0.25">
      <c r="A176" s="70"/>
      <c r="B176" s="33" t="s">
        <v>141</v>
      </c>
      <c r="C176" s="33" t="s">
        <v>67</v>
      </c>
      <c r="D176" s="33" t="s">
        <v>65</v>
      </c>
      <c r="E176" s="33" t="s">
        <v>81</v>
      </c>
      <c r="F176" s="33" t="s">
        <v>69</v>
      </c>
      <c r="G176" s="71">
        <v>114</v>
      </c>
      <c r="H176" s="72">
        <v>374.29</v>
      </c>
      <c r="I176" s="72">
        <v>42669.45</v>
      </c>
      <c r="J176" s="81">
        <v>0.2049</v>
      </c>
      <c r="K176" s="72">
        <v>33926.85</v>
      </c>
      <c r="L176" s="72">
        <v>1762.33</v>
      </c>
      <c r="M176" s="72">
        <v>35689.19</v>
      </c>
      <c r="N176" s="72">
        <v>407122.24</v>
      </c>
      <c r="O176" s="72">
        <v>33926.85</v>
      </c>
      <c r="P176" s="33" t="s">
        <v>262</v>
      </c>
      <c r="Q176" s="74">
        <v>45870</v>
      </c>
      <c r="R176" s="33">
        <v>2025</v>
      </c>
      <c r="S176" s="33">
        <v>8</v>
      </c>
      <c r="T176" s="3"/>
      <c r="U176" s="67" t="b">
        <f t="shared" si="10"/>
        <v>1</v>
      </c>
      <c r="V176" s="67" t="b">
        <f t="shared" si="11"/>
        <v>1</v>
      </c>
      <c r="W176" s="67" t="b">
        <f t="shared" si="12"/>
        <v>1</v>
      </c>
      <c r="X176" s="67" t="b">
        <f t="shared" si="13"/>
        <v>1</v>
      </c>
      <c r="Y176" s="75" t="str">
        <f t="shared" si="14"/>
        <v>✅ PASS</v>
      </c>
    </row>
    <row r="177" spans="1:25" ht="15" customHeight="1" x14ac:dyDescent="0.25">
      <c r="A177" s="76"/>
      <c r="B177" s="37" t="s">
        <v>141</v>
      </c>
      <c r="C177" s="37" t="s">
        <v>67</v>
      </c>
      <c r="D177" s="37" t="s">
        <v>62</v>
      </c>
      <c r="E177" s="37" t="s">
        <v>78</v>
      </c>
      <c r="F177" s="37" t="s">
        <v>69</v>
      </c>
      <c r="G177" s="77">
        <v>249</v>
      </c>
      <c r="H177" s="78">
        <v>799.95</v>
      </c>
      <c r="I177" s="78">
        <v>199188.11</v>
      </c>
      <c r="J177" s="79">
        <v>5.5E-2</v>
      </c>
      <c r="K177" s="78">
        <v>188223.94</v>
      </c>
      <c r="L177" s="78">
        <v>6575.09</v>
      </c>
      <c r="M177" s="78">
        <v>194799.03</v>
      </c>
      <c r="N177" s="78">
        <v>2258687.29</v>
      </c>
      <c r="O177" s="78">
        <v>188223.94</v>
      </c>
      <c r="P177" s="37" t="s">
        <v>262</v>
      </c>
      <c r="Q177" s="80">
        <v>45870</v>
      </c>
      <c r="R177" s="37">
        <v>2025</v>
      </c>
      <c r="S177" s="37">
        <v>8</v>
      </c>
      <c r="T177" s="3"/>
      <c r="U177" s="68" t="b">
        <f t="shared" si="10"/>
        <v>1</v>
      </c>
      <c r="V177" s="68" t="b">
        <f t="shared" si="11"/>
        <v>1</v>
      </c>
      <c r="W177" s="68" t="b">
        <f t="shared" si="12"/>
        <v>1</v>
      </c>
      <c r="X177" s="68" t="b">
        <f t="shared" si="13"/>
        <v>1</v>
      </c>
      <c r="Y177" s="69" t="str">
        <f t="shared" si="14"/>
        <v>✅ PASS</v>
      </c>
    </row>
    <row r="178" spans="1:25" ht="15" customHeight="1" x14ac:dyDescent="0.25">
      <c r="A178" s="70"/>
      <c r="B178" s="33" t="s">
        <v>141</v>
      </c>
      <c r="C178" s="33" t="s">
        <v>67</v>
      </c>
      <c r="D178" s="33" t="s">
        <v>68</v>
      </c>
      <c r="E178" s="33" t="s">
        <v>81</v>
      </c>
      <c r="F178" s="33" t="s">
        <v>66</v>
      </c>
      <c r="G178" s="71">
        <v>161</v>
      </c>
      <c r="H178" s="72">
        <v>542.21</v>
      </c>
      <c r="I178" s="72">
        <v>87295.39</v>
      </c>
      <c r="J178" s="81">
        <v>0.1212</v>
      </c>
      <c r="K178" s="72">
        <v>76712.14</v>
      </c>
      <c r="L178" s="72">
        <v>3558.56</v>
      </c>
      <c r="M178" s="72">
        <v>80270.7</v>
      </c>
      <c r="N178" s="72">
        <v>920545.68</v>
      </c>
      <c r="O178" s="72">
        <v>76712.14</v>
      </c>
      <c r="P178" s="33" t="s">
        <v>262</v>
      </c>
      <c r="Q178" s="74">
        <v>45870</v>
      </c>
      <c r="R178" s="33">
        <v>2025</v>
      </c>
      <c r="S178" s="33">
        <v>8</v>
      </c>
      <c r="T178" s="3"/>
      <c r="U178" s="67" t="b">
        <f t="shared" si="10"/>
        <v>1</v>
      </c>
      <c r="V178" s="67" t="b">
        <f t="shared" si="11"/>
        <v>1</v>
      </c>
      <c r="W178" s="67" t="b">
        <f t="shared" si="12"/>
        <v>1</v>
      </c>
      <c r="X178" s="67" t="b">
        <f t="shared" si="13"/>
        <v>1</v>
      </c>
      <c r="Y178" s="75" t="str">
        <f t="shared" si="14"/>
        <v>✅ PASS</v>
      </c>
    </row>
    <row r="179" spans="1:25" ht="15" customHeight="1" x14ac:dyDescent="0.25">
      <c r="A179" s="76"/>
      <c r="B179" s="37" t="s">
        <v>141</v>
      </c>
      <c r="C179" s="37" t="s">
        <v>64</v>
      </c>
      <c r="D179" s="37" t="s">
        <v>65</v>
      </c>
      <c r="E179" s="37" t="s">
        <v>78</v>
      </c>
      <c r="F179" s="37" t="s">
        <v>69</v>
      </c>
      <c r="G179" s="77">
        <v>170</v>
      </c>
      <c r="H179" s="78">
        <v>680.33</v>
      </c>
      <c r="I179" s="78">
        <v>115656.05</v>
      </c>
      <c r="J179" s="82">
        <v>0.14449999999999999</v>
      </c>
      <c r="K179" s="78">
        <v>98945.81</v>
      </c>
      <c r="L179" s="78">
        <v>156.29</v>
      </c>
      <c r="M179" s="78">
        <v>99102.1</v>
      </c>
      <c r="N179" s="78">
        <v>1187349.73</v>
      </c>
      <c r="O179" s="78">
        <v>98945.81</v>
      </c>
      <c r="P179" s="37" t="s">
        <v>262</v>
      </c>
      <c r="Q179" s="80">
        <v>45870</v>
      </c>
      <c r="R179" s="37">
        <v>2025</v>
      </c>
      <c r="S179" s="37">
        <v>8</v>
      </c>
      <c r="T179" s="3"/>
      <c r="U179" s="68" t="b">
        <f t="shared" si="10"/>
        <v>1</v>
      </c>
      <c r="V179" s="68" t="b">
        <f t="shared" si="11"/>
        <v>1</v>
      </c>
      <c r="W179" s="68" t="b">
        <f t="shared" si="12"/>
        <v>1</v>
      </c>
      <c r="X179" s="68" t="b">
        <f t="shared" si="13"/>
        <v>1</v>
      </c>
      <c r="Y179" s="69" t="str">
        <f t="shared" si="14"/>
        <v>✅ PASS</v>
      </c>
    </row>
    <row r="180" spans="1:25" ht="15" customHeight="1" x14ac:dyDescent="0.25">
      <c r="A180" s="70"/>
      <c r="B180" s="33" t="s">
        <v>141</v>
      </c>
      <c r="C180" s="33" t="s">
        <v>64</v>
      </c>
      <c r="D180" s="33" t="s">
        <v>62</v>
      </c>
      <c r="E180" s="33" t="s">
        <v>78</v>
      </c>
      <c r="F180" s="33" t="s">
        <v>69</v>
      </c>
      <c r="G180" s="71">
        <v>198</v>
      </c>
      <c r="H180" s="72">
        <v>997.21</v>
      </c>
      <c r="I180" s="72">
        <v>197446.91</v>
      </c>
      <c r="J180" s="81">
        <v>0.1953</v>
      </c>
      <c r="K180" s="72">
        <v>158886.68</v>
      </c>
      <c r="L180" s="72">
        <v>-6664.42</v>
      </c>
      <c r="M180" s="72">
        <v>152222.26</v>
      </c>
      <c r="N180" s="72">
        <v>1906640.18</v>
      </c>
      <c r="O180" s="72">
        <v>158886.68</v>
      </c>
      <c r="P180" s="33" t="s">
        <v>262</v>
      </c>
      <c r="Q180" s="74">
        <v>45870</v>
      </c>
      <c r="R180" s="33">
        <v>2025</v>
      </c>
      <c r="S180" s="33">
        <v>8</v>
      </c>
      <c r="T180" s="3"/>
      <c r="U180" s="67" t="b">
        <f t="shared" si="10"/>
        <v>1</v>
      </c>
      <c r="V180" s="67" t="b">
        <f t="shared" si="11"/>
        <v>1</v>
      </c>
      <c r="W180" s="67" t="b">
        <f t="shared" si="12"/>
        <v>1</v>
      </c>
      <c r="X180" s="67" t="b">
        <f t="shared" si="13"/>
        <v>1</v>
      </c>
      <c r="Y180" s="75" t="str">
        <f t="shared" si="14"/>
        <v>✅ PASS</v>
      </c>
    </row>
    <row r="181" spans="1:25" ht="15" customHeight="1" x14ac:dyDescent="0.25">
      <c r="A181" s="76"/>
      <c r="B181" s="37" t="s">
        <v>141</v>
      </c>
      <c r="C181" s="37" t="s">
        <v>64</v>
      </c>
      <c r="D181" s="37" t="s">
        <v>68</v>
      </c>
      <c r="E181" s="37" t="s">
        <v>75</v>
      </c>
      <c r="F181" s="37" t="s">
        <v>69</v>
      </c>
      <c r="G181" s="77">
        <v>141</v>
      </c>
      <c r="H181" s="78">
        <v>541.46</v>
      </c>
      <c r="I181" s="78">
        <v>76346.09</v>
      </c>
      <c r="J181" s="79">
        <v>9.3200000000000005E-2</v>
      </c>
      <c r="K181" s="78">
        <v>69231.17</v>
      </c>
      <c r="L181" s="78">
        <v>6706.26</v>
      </c>
      <c r="M181" s="78">
        <v>75937.42</v>
      </c>
      <c r="N181" s="78">
        <v>830774.02</v>
      </c>
      <c r="O181" s="78">
        <v>69231.17</v>
      </c>
      <c r="P181" s="37" t="s">
        <v>262</v>
      </c>
      <c r="Q181" s="80">
        <v>45870</v>
      </c>
      <c r="R181" s="37">
        <v>2025</v>
      </c>
      <c r="S181" s="37">
        <v>8</v>
      </c>
      <c r="T181" s="3"/>
      <c r="U181" s="68" t="b">
        <f t="shared" si="10"/>
        <v>1</v>
      </c>
      <c r="V181" s="68" t="b">
        <f t="shared" si="11"/>
        <v>1</v>
      </c>
      <c r="W181" s="68" t="b">
        <f t="shared" si="12"/>
        <v>1</v>
      </c>
      <c r="X181" s="68" t="b">
        <f t="shared" si="13"/>
        <v>1</v>
      </c>
      <c r="Y181" s="69" t="str">
        <f t="shared" si="14"/>
        <v>✅ PASS</v>
      </c>
    </row>
    <row r="182" spans="1:25" ht="15" customHeight="1" x14ac:dyDescent="0.25">
      <c r="A182" s="70"/>
      <c r="B182" s="33" t="s">
        <v>142</v>
      </c>
      <c r="C182" s="33" t="s">
        <v>61</v>
      </c>
      <c r="D182" s="33" t="s">
        <v>65</v>
      </c>
      <c r="E182" s="33" t="s">
        <v>75</v>
      </c>
      <c r="F182" s="33" t="s">
        <v>69</v>
      </c>
      <c r="G182" s="71">
        <v>280</v>
      </c>
      <c r="H182" s="72">
        <v>427.52</v>
      </c>
      <c r="I182" s="72">
        <v>119705.86</v>
      </c>
      <c r="J182" s="81">
        <v>0.16270000000000001</v>
      </c>
      <c r="K182" s="72">
        <v>100223.96</v>
      </c>
      <c r="L182" s="72">
        <v>-8095.54</v>
      </c>
      <c r="M182" s="72">
        <v>92128.42</v>
      </c>
      <c r="N182" s="72">
        <v>1202687.54</v>
      </c>
      <c r="O182" s="72">
        <v>100223.96</v>
      </c>
      <c r="P182" s="33" t="s">
        <v>262</v>
      </c>
      <c r="Q182" s="74">
        <v>45901</v>
      </c>
      <c r="R182" s="33">
        <v>2025</v>
      </c>
      <c r="S182" s="33">
        <v>9</v>
      </c>
      <c r="T182" s="3"/>
      <c r="U182" s="67" t="b">
        <f t="shared" si="10"/>
        <v>1</v>
      </c>
      <c r="V182" s="67" t="b">
        <f t="shared" si="11"/>
        <v>1</v>
      </c>
      <c r="W182" s="67" t="b">
        <f t="shared" si="12"/>
        <v>1</v>
      </c>
      <c r="X182" s="67" t="b">
        <f t="shared" si="13"/>
        <v>1</v>
      </c>
      <c r="Y182" s="75" t="str">
        <f t="shared" si="14"/>
        <v>✅ PASS</v>
      </c>
    </row>
    <row r="183" spans="1:25" ht="15" customHeight="1" x14ac:dyDescent="0.25">
      <c r="A183" s="76"/>
      <c r="B183" s="37" t="s">
        <v>142</v>
      </c>
      <c r="C183" s="37" t="s">
        <v>61</v>
      </c>
      <c r="D183" s="37" t="s">
        <v>62</v>
      </c>
      <c r="E183" s="37" t="s">
        <v>75</v>
      </c>
      <c r="F183" s="37" t="s">
        <v>63</v>
      </c>
      <c r="G183" s="77">
        <v>293</v>
      </c>
      <c r="H183" s="78">
        <v>569.77</v>
      </c>
      <c r="I183" s="78">
        <v>166943.63</v>
      </c>
      <c r="J183" s="79">
        <v>7.3700000000000002E-2</v>
      </c>
      <c r="K183" s="78">
        <v>154644.21</v>
      </c>
      <c r="L183" s="78">
        <v>4152.67</v>
      </c>
      <c r="M183" s="78">
        <v>158796.88</v>
      </c>
      <c r="N183" s="78">
        <v>1855730.54</v>
      </c>
      <c r="O183" s="78">
        <v>154644.21</v>
      </c>
      <c r="P183" s="37" t="s">
        <v>262</v>
      </c>
      <c r="Q183" s="80">
        <v>45901</v>
      </c>
      <c r="R183" s="37">
        <v>2025</v>
      </c>
      <c r="S183" s="37">
        <v>9</v>
      </c>
      <c r="T183" s="3"/>
      <c r="U183" s="68" t="b">
        <f t="shared" si="10"/>
        <v>1</v>
      </c>
      <c r="V183" s="68" t="b">
        <f t="shared" si="11"/>
        <v>1</v>
      </c>
      <c r="W183" s="68" t="b">
        <f t="shared" si="12"/>
        <v>1</v>
      </c>
      <c r="X183" s="68" t="b">
        <f t="shared" si="13"/>
        <v>1</v>
      </c>
      <c r="Y183" s="69" t="str">
        <f t="shared" si="14"/>
        <v>✅ PASS</v>
      </c>
    </row>
    <row r="184" spans="1:25" ht="15" customHeight="1" x14ac:dyDescent="0.25">
      <c r="A184" s="70"/>
      <c r="B184" s="33" t="s">
        <v>142</v>
      </c>
      <c r="C184" s="33" t="s">
        <v>61</v>
      </c>
      <c r="D184" s="33" t="s">
        <v>68</v>
      </c>
      <c r="E184" s="33" t="s">
        <v>75</v>
      </c>
      <c r="F184" s="33" t="s">
        <v>63</v>
      </c>
      <c r="G184" s="71">
        <v>126</v>
      </c>
      <c r="H184" s="72">
        <v>332.49</v>
      </c>
      <c r="I184" s="72">
        <v>41893.35</v>
      </c>
      <c r="J184" s="73">
        <v>5.8200000000000002E-2</v>
      </c>
      <c r="K184" s="72">
        <v>39453.22</v>
      </c>
      <c r="L184" s="72">
        <v>5364.85</v>
      </c>
      <c r="M184" s="72">
        <v>44818.07</v>
      </c>
      <c r="N184" s="72">
        <v>473438.61</v>
      </c>
      <c r="O184" s="72">
        <v>39453.22</v>
      </c>
      <c r="P184" s="33" t="s">
        <v>262</v>
      </c>
      <c r="Q184" s="74">
        <v>45901</v>
      </c>
      <c r="R184" s="33">
        <v>2025</v>
      </c>
      <c r="S184" s="33">
        <v>9</v>
      </c>
      <c r="T184" s="3"/>
      <c r="U184" s="67" t="b">
        <f t="shared" si="10"/>
        <v>1</v>
      </c>
      <c r="V184" s="67" t="b">
        <f t="shared" si="11"/>
        <v>1</v>
      </c>
      <c r="W184" s="67" t="b">
        <f t="shared" si="12"/>
        <v>1</v>
      </c>
      <c r="X184" s="67" t="b">
        <f t="shared" si="13"/>
        <v>1</v>
      </c>
      <c r="Y184" s="75" t="str">
        <f t="shared" si="14"/>
        <v>✅ PASS</v>
      </c>
    </row>
    <row r="185" spans="1:25" ht="15" customHeight="1" x14ac:dyDescent="0.25">
      <c r="A185" s="76"/>
      <c r="B185" s="37" t="s">
        <v>142</v>
      </c>
      <c r="C185" s="37" t="s">
        <v>67</v>
      </c>
      <c r="D185" s="37" t="s">
        <v>65</v>
      </c>
      <c r="E185" s="37" t="s">
        <v>78</v>
      </c>
      <c r="F185" s="37" t="s">
        <v>66</v>
      </c>
      <c r="G185" s="77">
        <v>180</v>
      </c>
      <c r="H185" s="78">
        <v>694.58</v>
      </c>
      <c r="I185" s="78">
        <v>125023.85</v>
      </c>
      <c r="J185" s="79">
        <v>1.6299999999999999E-2</v>
      </c>
      <c r="K185" s="78">
        <v>122986.44</v>
      </c>
      <c r="L185" s="78">
        <v>10789.83</v>
      </c>
      <c r="M185" s="78">
        <v>133776.26999999999</v>
      </c>
      <c r="N185" s="78">
        <v>1475837.28</v>
      </c>
      <c r="O185" s="78">
        <v>122986.44</v>
      </c>
      <c r="P185" s="37" t="s">
        <v>262</v>
      </c>
      <c r="Q185" s="80">
        <v>45901</v>
      </c>
      <c r="R185" s="37">
        <v>2025</v>
      </c>
      <c r="S185" s="37">
        <v>9</v>
      </c>
      <c r="T185" s="3"/>
      <c r="U185" s="68" t="b">
        <f t="shared" si="10"/>
        <v>1</v>
      </c>
      <c r="V185" s="68" t="b">
        <f t="shared" si="11"/>
        <v>1</v>
      </c>
      <c r="W185" s="68" t="b">
        <f t="shared" si="12"/>
        <v>1</v>
      </c>
      <c r="X185" s="68" t="b">
        <f t="shared" si="13"/>
        <v>1</v>
      </c>
      <c r="Y185" s="69" t="str">
        <f t="shared" si="14"/>
        <v>✅ PASS</v>
      </c>
    </row>
    <row r="186" spans="1:25" ht="15" customHeight="1" x14ac:dyDescent="0.25">
      <c r="A186" s="70"/>
      <c r="B186" s="33" t="s">
        <v>142</v>
      </c>
      <c r="C186" s="33" t="s">
        <v>67</v>
      </c>
      <c r="D186" s="33" t="s">
        <v>62</v>
      </c>
      <c r="E186" s="33" t="s">
        <v>81</v>
      </c>
      <c r="F186" s="33" t="s">
        <v>66</v>
      </c>
      <c r="G186" s="71">
        <v>77</v>
      </c>
      <c r="H186" s="72">
        <v>935.52</v>
      </c>
      <c r="I186" s="72">
        <v>72035.16</v>
      </c>
      <c r="J186" s="81">
        <v>0.2</v>
      </c>
      <c r="K186" s="72">
        <v>57630.29</v>
      </c>
      <c r="L186" s="72">
        <v>4844.9799999999996</v>
      </c>
      <c r="M186" s="72">
        <v>62475.27</v>
      </c>
      <c r="N186" s="72">
        <v>691563.52000000002</v>
      </c>
      <c r="O186" s="72">
        <v>57630.29</v>
      </c>
      <c r="P186" s="33" t="s">
        <v>262</v>
      </c>
      <c r="Q186" s="74">
        <v>45901</v>
      </c>
      <c r="R186" s="33">
        <v>2025</v>
      </c>
      <c r="S186" s="33">
        <v>9</v>
      </c>
      <c r="T186" s="3"/>
      <c r="U186" s="67" t="b">
        <f t="shared" si="10"/>
        <v>1</v>
      </c>
      <c r="V186" s="67" t="b">
        <f t="shared" si="11"/>
        <v>1</v>
      </c>
      <c r="W186" s="67" t="b">
        <f t="shared" si="12"/>
        <v>1</v>
      </c>
      <c r="X186" s="67" t="b">
        <f t="shared" si="13"/>
        <v>1</v>
      </c>
      <c r="Y186" s="75" t="str">
        <f t="shared" si="14"/>
        <v>✅ PASS</v>
      </c>
    </row>
    <row r="187" spans="1:25" ht="15" customHeight="1" x14ac:dyDescent="0.25">
      <c r="A187" s="76"/>
      <c r="B187" s="37" t="s">
        <v>142</v>
      </c>
      <c r="C187" s="37" t="s">
        <v>67</v>
      </c>
      <c r="D187" s="37" t="s">
        <v>68</v>
      </c>
      <c r="E187" s="37" t="s">
        <v>75</v>
      </c>
      <c r="F187" s="37" t="s">
        <v>63</v>
      </c>
      <c r="G187" s="77">
        <v>190</v>
      </c>
      <c r="H187" s="78">
        <v>348.11</v>
      </c>
      <c r="I187" s="78">
        <v>66140.62</v>
      </c>
      <c r="J187" s="82">
        <v>0.2175</v>
      </c>
      <c r="K187" s="78">
        <v>51752.02</v>
      </c>
      <c r="L187" s="78">
        <v>-779.73</v>
      </c>
      <c r="M187" s="78">
        <v>50972.28</v>
      </c>
      <c r="N187" s="78">
        <v>621024.18000000005</v>
      </c>
      <c r="O187" s="78">
        <v>51752.02</v>
      </c>
      <c r="P187" s="37" t="s">
        <v>262</v>
      </c>
      <c r="Q187" s="80">
        <v>45901</v>
      </c>
      <c r="R187" s="37">
        <v>2025</v>
      </c>
      <c r="S187" s="37">
        <v>9</v>
      </c>
      <c r="T187" s="3"/>
      <c r="U187" s="68" t="b">
        <f t="shared" si="10"/>
        <v>1</v>
      </c>
      <c r="V187" s="68" t="b">
        <f t="shared" si="11"/>
        <v>1</v>
      </c>
      <c r="W187" s="68" t="b">
        <f t="shared" si="12"/>
        <v>1</v>
      </c>
      <c r="X187" s="68" t="b">
        <f t="shared" si="13"/>
        <v>1</v>
      </c>
      <c r="Y187" s="69" t="str">
        <f t="shared" si="14"/>
        <v>✅ PASS</v>
      </c>
    </row>
    <row r="188" spans="1:25" ht="15" customHeight="1" x14ac:dyDescent="0.25">
      <c r="A188" s="70"/>
      <c r="B188" s="33" t="s">
        <v>142</v>
      </c>
      <c r="C188" s="33" t="s">
        <v>64</v>
      </c>
      <c r="D188" s="33" t="s">
        <v>65</v>
      </c>
      <c r="E188" s="33" t="s">
        <v>81</v>
      </c>
      <c r="F188" s="33" t="s">
        <v>66</v>
      </c>
      <c r="G188" s="71">
        <v>236</v>
      </c>
      <c r="H188" s="72">
        <v>538.04999999999995</v>
      </c>
      <c r="I188" s="72">
        <v>126980.61</v>
      </c>
      <c r="J188" s="73">
        <v>0.112</v>
      </c>
      <c r="K188" s="72">
        <v>112763.05</v>
      </c>
      <c r="L188" s="72">
        <v>-3074.1</v>
      </c>
      <c r="M188" s="72">
        <v>109688.96000000001</v>
      </c>
      <c r="N188" s="72">
        <v>1353156.65</v>
      </c>
      <c r="O188" s="72">
        <v>112763.05</v>
      </c>
      <c r="P188" s="33" t="s">
        <v>262</v>
      </c>
      <c r="Q188" s="74">
        <v>45901</v>
      </c>
      <c r="R188" s="33">
        <v>2025</v>
      </c>
      <c r="S188" s="33">
        <v>9</v>
      </c>
      <c r="T188" s="3"/>
      <c r="U188" s="67" t="b">
        <f t="shared" si="10"/>
        <v>1</v>
      </c>
      <c r="V188" s="67" t="b">
        <f t="shared" si="11"/>
        <v>1</v>
      </c>
      <c r="W188" s="67" t="b">
        <f t="shared" si="12"/>
        <v>1</v>
      </c>
      <c r="X188" s="67" t="b">
        <f t="shared" si="13"/>
        <v>1</v>
      </c>
      <c r="Y188" s="75" t="str">
        <f t="shared" si="14"/>
        <v>✅ PASS</v>
      </c>
    </row>
    <row r="189" spans="1:25" ht="15" customHeight="1" x14ac:dyDescent="0.25">
      <c r="A189" s="76"/>
      <c r="B189" s="37" t="s">
        <v>142</v>
      </c>
      <c r="C189" s="37" t="s">
        <v>64</v>
      </c>
      <c r="D189" s="37" t="s">
        <v>62</v>
      </c>
      <c r="E189" s="37" t="s">
        <v>81</v>
      </c>
      <c r="F189" s="37" t="s">
        <v>63</v>
      </c>
      <c r="G189" s="77">
        <v>114</v>
      </c>
      <c r="H189" s="78">
        <v>204.88</v>
      </c>
      <c r="I189" s="78">
        <v>23356.87</v>
      </c>
      <c r="J189" s="79">
        <v>9.7199999999999995E-2</v>
      </c>
      <c r="K189" s="78">
        <v>21085.919999999998</v>
      </c>
      <c r="L189" s="78">
        <v>725.61</v>
      </c>
      <c r="M189" s="78">
        <v>21811.53</v>
      </c>
      <c r="N189" s="78">
        <v>253031.01</v>
      </c>
      <c r="O189" s="78">
        <v>21085.919999999998</v>
      </c>
      <c r="P189" s="37" t="s">
        <v>262</v>
      </c>
      <c r="Q189" s="80">
        <v>45901</v>
      </c>
      <c r="R189" s="37">
        <v>2025</v>
      </c>
      <c r="S189" s="37">
        <v>9</v>
      </c>
      <c r="T189" s="3"/>
      <c r="U189" s="68" t="b">
        <f t="shared" si="10"/>
        <v>1</v>
      </c>
      <c r="V189" s="68" t="b">
        <f t="shared" si="11"/>
        <v>1</v>
      </c>
      <c r="W189" s="68" t="b">
        <f t="shared" si="12"/>
        <v>1</v>
      </c>
      <c r="X189" s="68" t="b">
        <f t="shared" si="13"/>
        <v>1</v>
      </c>
      <c r="Y189" s="69" t="str">
        <f t="shared" si="14"/>
        <v>✅ PASS</v>
      </c>
    </row>
    <row r="190" spans="1:25" ht="15" customHeight="1" x14ac:dyDescent="0.25">
      <c r="A190" s="70"/>
      <c r="B190" s="33" t="s">
        <v>142</v>
      </c>
      <c r="C190" s="33" t="s">
        <v>64</v>
      </c>
      <c r="D190" s="33" t="s">
        <v>68</v>
      </c>
      <c r="E190" s="33" t="s">
        <v>78</v>
      </c>
      <c r="F190" s="33" t="s">
        <v>66</v>
      </c>
      <c r="G190" s="71">
        <v>177</v>
      </c>
      <c r="H190" s="72">
        <v>1043.6500000000001</v>
      </c>
      <c r="I190" s="72">
        <v>184725.83</v>
      </c>
      <c r="J190" s="73">
        <v>4.5600000000000002E-2</v>
      </c>
      <c r="K190" s="72">
        <v>176305.86</v>
      </c>
      <c r="L190" s="72">
        <v>6397.58</v>
      </c>
      <c r="M190" s="72">
        <v>182703.44</v>
      </c>
      <c r="N190" s="72">
        <v>2115670.2999999998</v>
      </c>
      <c r="O190" s="72">
        <v>176305.86</v>
      </c>
      <c r="P190" s="33" t="s">
        <v>262</v>
      </c>
      <c r="Q190" s="74">
        <v>45901</v>
      </c>
      <c r="R190" s="33">
        <v>2025</v>
      </c>
      <c r="S190" s="33">
        <v>9</v>
      </c>
      <c r="T190" s="3"/>
      <c r="U190" s="67" t="b">
        <f t="shared" si="10"/>
        <v>1</v>
      </c>
      <c r="V190" s="67" t="b">
        <f t="shared" si="11"/>
        <v>1</v>
      </c>
      <c r="W190" s="67" t="b">
        <f t="shared" si="12"/>
        <v>1</v>
      </c>
      <c r="X190" s="67" t="b">
        <f t="shared" si="13"/>
        <v>1</v>
      </c>
      <c r="Y190" s="75" t="str">
        <f t="shared" si="14"/>
        <v>✅ PASS</v>
      </c>
    </row>
    <row r="191" spans="1:25" ht="15" customHeight="1" x14ac:dyDescent="0.25">
      <c r="A191" s="76"/>
      <c r="B191" s="37" t="s">
        <v>143</v>
      </c>
      <c r="C191" s="37" t="s">
        <v>61</v>
      </c>
      <c r="D191" s="37" t="s">
        <v>65</v>
      </c>
      <c r="E191" s="37" t="s">
        <v>78</v>
      </c>
      <c r="F191" s="37" t="s">
        <v>66</v>
      </c>
      <c r="G191" s="77">
        <v>216</v>
      </c>
      <c r="H191" s="78">
        <v>659.93</v>
      </c>
      <c r="I191" s="78">
        <v>142545.39000000001</v>
      </c>
      <c r="J191" s="82">
        <v>0.18840000000000001</v>
      </c>
      <c r="K191" s="78">
        <v>115687.02</v>
      </c>
      <c r="L191" s="78">
        <v>11285.87</v>
      </c>
      <c r="M191" s="78">
        <v>126972.89</v>
      </c>
      <c r="N191" s="78">
        <v>1388244.22</v>
      </c>
      <c r="O191" s="78">
        <v>115687.02</v>
      </c>
      <c r="P191" s="37" t="s">
        <v>262</v>
      </c>
      <c r="Q191" s="80">
        <v>45931</v>
      </c>
      <c r="R191" s="37">
        <v>2025</v>
      </c>
      <c r="S191" s="37">
        <v>10</v>
      </c>
      <c r="T191" s="3"/>
      <c r="U191" s="68" t="b">
        <f t="shared" si="10"/>
        <v>1</v>
      </c>
      <c r="V191" s="68" t="b">
        <f t="shared" si="11"/>
        <v>1</v>
      </c>
      <c r="W191" s="68" t="b">
        <f t="shared" si="12"/>
        <v>1</v>
      </c>
      <c r="X191" s="68" t="b">
        <f t="shared" si="13"/>
        <v>1</v>
      </c>
      <c r="Y191" s="69" t="str">
        <f t="shared" si="14"/>
        <v>✅ PASS</v>
      </c>
    </row>
    <row r="192" spans="1:25" ht="15" customHeight="1" x14ac:dyDescent="0.25">
      <c r="A192" s="70"/>
      <c r="B192" s="33" t="s">
        <v>143</v>
      </c>
      <c r="C192" s="33" t="s">
        <v>61</v>
      </c>
      <c r="D192" s="33" t="s">
        <v>62</v>
      </c>
      <c r="E192" s="33" t="s">
        <v>81</v>
      </c>
      <c r="F192" s="33" t="s">
        <v>69</v>
      </c>
      <c r="G192" s="71">
        <v>147</v>
      </c>
      <c r="H192" s="72">
        <v>991.56</v>
      </c>
      <c r="I192" s="72">
        <v>145759.32</v>
      </c>
      <c r="J192" s="73">
        <v>1.9699999999999999E-2</v>
      </c>
      <c r="K192" s="72">
        <v>142895.14000000001</v>
      </c>
      <c r="L192" s="72">
        <v>19316.990000000002</v>
      </c>
      <c r="M192" s="72">
        <v>162212.13</v>
      </c>
      <c r="N192" s="72">
        <v>1714741.7</v>
      </c>
      <c r="O192" s="72">
        <v>142895.14000000001</v>
      </c>
      <c r="P192" s="33" t="s">
        <v>262</v>
      </c>
      <c r="Q192" s="74">
        <v>45931</v>
      </c>
      <c r="R192" s="33">
        <v>2025</v>
      </c>
      <c r="S192" s="33">
        <v>10</v>
      </c>
      <c r="T192" s="3"/>
      <c r="U192" s="67" t="b">
        <f t="shared" si="10"/>
        <v>1</v>
      </c>
      <c r="V192" s="67" t="b">
        <f t="shared" si="11"/>
        <v>1</v>
      </c>
      <c r="W192" s="67" t="b">
        <f t="shared" si="12"/>
        <v>1</v>
      </c>
      <c r="X192" s="67" t="b">
        <f t="shared" si="13"/>
        <v>1</v>
      </c>
      <c r="Y192" s="75" t="str">
        <f t="shared" si="14"/>
        <v>✅ PASS</v>
      </c>
    </row>
    <row r="193" spans="1:25" ht="15" customHeight="1" x14ac:dyDescent="0.25">
      <c r="A193" s="76"/>
      <c r="B193" s="37" t="s">
        <v>143</v>
      </c>
      <c r="C193" s="37" t="s">
        <v>61</v>
      </c>
      <c r="D193" s="37" t="s">
        <v>68</v>
      </c>
      <c r="E193" s="37" t="s">
        <v>78</v>
      </c>
      <c r="F193" s="37" t="s">
        <v>69</v>
      </c>
      <c r="G193" s="77">
        <v>85</v>
      </c>
      <c r="H193" s="78">
        <v>666.58</v>
      </c>
      <c r="I193" s="78">
        <v>56659.47</v>
      </c>
      <c r="J193" s="82">
        <v>0.15260000000000001</v>
      </c>
      <c r="K193" s="78">
        <v>48015.8</v>
      </c>
      <c r="L193" s="78">
        <v>1191.54</v>
      </c>
      <c r="M193" s="78">
        <v>49207.34</v>
      </c>
      <c r="N193" s="78">
        <v>576189.62</v>
      </c>
      <c r="O193" s="78">
        <v>48015.8</v>
      </c>
      <c r="P193" s="37" t="s">
        <v>262</v>
      </c>
      <c r="Q193" s="80">
        <v>45931</v>
      </c>
      <c r="R193" s="37">
        <v>2025</v>
      </c>
      <c r="S193" s="37">
        <v>10</v>
      </c>
      <c r="T193" s="3"/>
      <c r="U193" s="68" t="b">
        <f t="shared" si="10"/>
        <v>1</v>
      </c>
      <c r="V193" s="68" t="b">
        <f t="shared" si="11"/>
        <v>1</v>
      </c>
      <c r="W193" s="68" t="b">
        <f t="shared" si="12"/>
        <v>1</v>
      </c>
      <c r="X193" s="68" t="b">
        <f t="shared" si="13"/>
        <v>1</v>
      </c>
      <c r="Y193" s="69" t="str">
        <f t="shared" si="14"/>
        <v>✅ PASS</v>
      </c>
    </row>
    <row r="194" spans="1:25" ht="15" customHeight="1" x14ac:dyDescent="0.25">
      <c r="A194" s="70"/>
      <c r="B194" s="33" t="s">
        <v>143</v>
      </c>
      <c r="C194" s="33" t="s">
        <v>67</v>
      </c>
      <c r="D194" s="33" t="s">
        <v>65</v>
      </c>
      <c r="E194" s="33" t="s">
        <v>78</v>
      </c>
      <c r="F194" s="33" t="s">
        <v>69</v>
      </c>
      <c r="G194" s="71">
        <v>234</v>
      </c>
      <c r="H194" s="72">
        <v>225.58</v>
      </c>
      <c r="I194" s="72">
        <v>52785.67</v>
      </c>
      <c r="J194" s="81">
        <v>0.23269999999999999</v>
      </c>
      <c r="K194" s="72">
        <v>40502.99</v>
      </c>
      <c r="L194" s="72">
        <v>5888.93</v>
      </c>
      <c r="M194" s="72">
        <v>46391.92</v>
      </c>
      <c r="N194" s="72">
        <v>486035.9</v>
      </c>
      <c r="O194" s="72">
        <v>40502.99</v>
      </c>
      <c r="P194" s="33" t="s">
        <v>262</v>
      </c>
      <c r="Q194" s="74">
        <v>45931</v>
      </c>
      <c r="R194" s="33">
        <v>2025</v>
      </c>
      <c r="S194" s="33">
        <v>10</v>
      </c>
      <c r="T194" s="3"/>
      <c r="U194" s="67" t="b">
        <f t="shared" ref="U194:U217" si="15">IF(I194=0,"N/A",ABS(I194*(1-J194)-K194)/I194&lt;0.001)</f>
        <v>1</v>
      </c>
      <c r="V194" s="67" t="b">
        <f t="shared" ref="V194:V217" si="16">ABS(N194-O194*12)&lt;=1</f>
        <v>1</v>
      </c>
      <c r="W194" s="67" t="b">
        <f t="shared" ref="W194:W217" si="17">ABS(K194+L194-M194)&lt;=1</f>
        <v>1</v>
      </c>
      <c r="X194" s="67" t="b">
        <f t="shared" ref="X194:X217" si="18">AND(B194&lt;&gt;"",C194&lt;&gt;"",K194&lt;&gt;0,N194&lt;&gt;0)</f>
        <v>1</v>
      </c>
      <c r="Y194" s="75" t="str">
        <f t="shared" ref="Y194:Y217" si="19">IF(AND(OR(U194=TRUE(),U194="N/A"),V194=TRUE(),W194=TRUE(),X194=TRUE()),"✅ PASS","❌ FAIL")</f>
        <v>✅ PASS</v>
      </c>
    </row>
    <row r="195" spans="1:25" ht="15" customHeight="1" x14ac:dyDescent="0.25">
      <c r="A195" s="76"/>
      <c r="B195" s="37" t="s">
        <v>143</v>
      </c>
      <c r="C195" s="37" t="s">
        <v>67</v>
      </c>
      <c r="D195" s="37" t="s">
        <v>62</v>
      </c>
      <c r="E195" s="37" t="s">
        <v>75</v>
      </c>
      <c r="F195" s="37" t="s">
        <v>63</v>
      </c>
      <c r="G195" s="77">
        <v>122</v>
      </c>
      <c r="H195" s="78">
        <v>876.24</v>
      </c>
      <c r="I195" s="78">
        <v>106900.88</v>
      </c>
      <c r="J195" s="79">
        <v>3.9699999999999999E-2</v>
      </c>
      <c r="K195" s="78">
        <v>102653.13</v>
      </c>
      <c r="L195" s="78">
        <v>15394.65</v>
      </c>
      <c r="M195" s="78">
        <v>118047.77</v>
      </c>
      <c r="N195" s="78">
        <v>1231837.54</v>
      </c>
      <c r="O195" s="78">
        <v>102653.13</v>
      </c>
      <c r="P195" s="37" t="s">
        <v>262</v>
      </c>
      <c r="Q195" s="80">
        <v>45931</v>
      </c>
      <c r="R195" s="37">
        <v>2025</v>
      </c>
      <c r="S195" s="37">
        <v>10</v>
      </c>
      <c r="T195" s="3"/>
      <c r="U195" s="68" t="b">
        <f t="shared" si="15"/>
        <v>1</v>
      </c>
      <c r="V195" s="68" t="b">
        <f t="shared" si="16"/>
        <v>1</v>
      </c>
      <c r="W195" s="68" t="b">
        <f t="shared" si="17"/>
        <v>1</v>
      </c>
      <c r="X195" s="68" t="b">
        <f t="shared" si="18"/>
        <v>1</v>
      </c>
      <c r="Y195" s="69" t="str">
        <f t="shared" si="19"/>
        <v>✅ PASS</v>
      </c>
    </row>
    <row r="196" spans="1:25" ht="15" customHeight="1" x14ac:dyDescent="0.25">
      <c r="A196" s="70"/>
      <c r="B196" s="33" t="s">
        <v>143</v>
      </c>
      <c r="C196" s="33" t="s">
        <v>67</v>
      </c>
      <c r="D196" s="33" t="s">
        <v>68</v>
      </c>
      <c r="E196" s="33" t="s">
        <v>81</v>
      </c>
      <c r="F196" s="33" t="s">
        <v>63</v>
      </c>
      <c r="G196" s="71">
        <v>247</v>
      </c>
      <c r="H196" s="72">
        <v>414.06</v>
      </c>
      <c r="I196" s="72">
        <v>102272.85</v>
      </c>
      <c r="J196" s="73">
        <v>5.5300000000000002E-2</v>
      </c>
      <c r="K196" s="72">
        <v>96615.6</v>
      </c>
      <c r="L196" s="72">
        <v>9165.14</v>
      </c>
      <c r="M196" s="72">
        <v>105780.74</v>
      </c>
      <c r="N196" s="72">
        <v>1159387.26</v>
      </c>
      <c r="O196" s="72">
        <v>96615.6</v>
      </c>
      <c r="P196" s="33" t="s">
        <v>262</v>
      </c>
      <c r="Q196" s="74">
        <v>45931</v>
      </c>
      <c r="R196" s="33">
        <v>2025</v>
      </c>
      <c r="S196" s="33">
        <v>10</v>
      </c>
      <c r="T196" s="3"/>
      <c r="U196" s="67" t="b">
        <f t="shared" si="15"/>
        <v>1</v>
      </c>
      <c r="V196" s="67" t="b">
        <f t="shared" si="16"/>
        <v>1</v>
      </c>
      <c r="W196" s="67" t="b">
        <f t="shared" si="17"/>
        <v>1</v>
      </c>
      <c r="X196" s="67" t="b">
        <f t="shared" si="18"/>
        <v>1</v>
      </c>
      <c r="Y196" s="75" t="str">
        <f t="shared" si="19"/>
        <v>✅ PASS</v>
      </c>
    </row>
    <row r="197" spans="1:25" ht="15" customHeight="1" x14ac:dyDescent="0.25">
      <c r="A197" s="76"/>
      <c r="B197" s="37" t="s">
        <v>143</v>
      </c>
      <c r="C197" s="37" t="s">
        <v>64</v>
      </c>
      <c r="D197" s="37" t="s">
        <v>65</v>
      </c>
      <c r="E197" s="37" t="s">
        <v>75</v>
      </c>
      <c r="F197" s="37" t="s">
        <v>63</v>
      </c>
      <c r="G197" s="77">
        <v>282</v>
      </c>
      <c r="H197" s="78">
        <v>202.2</v>
      </c>
      <c r="I197" s="78">
        <v>57020.88</v>
      </c>
      <c r="J197" s="79">
        <v>1.4999999999999999E-2</v>
      </c>
      <c r="K197" s="78">
        <v>56167.98</v>
      </c>
      <c r="L197" s="78">
        <v>-4775.4799999999996</v>
      </c>
      <c r="M197" s="78">
        <v>51392.5</v>
      </c>
      <c r="N197" s="78">
        <v>674015.77</v>
      </c>
      <c r="O197" s="78">
        <v>56167.98</v>
      </c>
      <c r="P197" s="37" t="s">
        <v>262</v>
      </c>
      <c r="Q197" s="80">
        <v>45931</v>
      </c>
      <c r="R197" s="37">
        <v>2025</v>
      </c>
      <c r="S197" s="37">
        <v>10</v>
      </c>
      <c r="T197" s="3"/>
      <c r="U197" s="68" t="b">
        <f t="shared" si="15"/>
        <v>1</v>
      </c>
      <c r="V197" s="68" t="b">
        <f t="shared" si="16"/>
        <v>1</v>
      </c>
      <c r="W197" s="68" t="b">
        <f t="shared" si="17"/>
        <v>1</v>
      </c>
      <c r="X197" s="68" t="b">
        <f t="shared" si="18"/>
        <v>1</v>
      </c>
      <c r="Y197" s="69" t="str">
        <f t="shared" si="19"/>
        <v>✅ PASS</v>
      </c>
    </row>
    <row r="198" spans="1:25" ht="15" customHeight="1" x14ac:dyDescent="0.25">
      <c r="A198" s="70"/>
      <c r="B198" s="33" t="s">
        <v>143</v>
      </c>
      <c r="C198" s="33" t="s">
        <v>64</v>
      </c>
      <c r="D198" s="33" t="s">
        <v>62</v>
      </c>
      <c r="E198" s="33" t="s">
        <v>75</v>
      </c>
      <c r="F198" s="33" t="s">
        <v>69</v>
      </c>
      <c r="G198" s="71">
        <v>98</v>
      </c>
      <c r="H198" s="72">
        <v>950.83</v>
      </c>
      <c r="I198" s="72">
        <v>93180.94</v>
      </c>
      <c r="J198" s="81">
        <v>0.1986</v>
      </c>
      <c r="K198" s="72">
        <v>74676.67</v>
      </c>
      <c r="L198" s="72">
        <v>-6518.68</v>
      </c>
      <c r="M198" s="72">
        <v>68157.990000000005</v>
      </c>
      <c r="N198" s="72">
        <v>896120.05</v>
      </c>
      <c r="O198" s="72">
        <v>74676.67</v>
      </c>
      <c r="P198" s="33" t="s">
        <v>262</v>
      </c>
      <c r="Q198" s="74">
        <v>45931</v>
      </c>
      <c r="R198" s="33">
        <v>2025</v>
      </c>
      <c r="S198" s="33">
        <v>10</v>
      </c>
      <c r="T198" s="3"/>
      <c r="U198" s="67" t="b">
        <f t="shared" si="15"/>
        <v>1</v>
      </c>
      <c r="V198" s="67" t="b">
        <f t="shared" si="16"/>
        <v>1</v>
      </c>
      <c r="W198" s="67" t="b">
        <f t="shared" si="17"/>
        <v>1</v>
      </c>
      <c r="X198" s="67" t="b">
        <f t="shared" si="18"/>
        <v>1</v>
      </c>
      <c r="Y198" s="75" t="str">
        <f t="shared" si="19"/>
        <v>✅ PASS</v>
      </c>
    </row>
    <row r="199" spans="1:25" ht="15" customHeight="1" x14ac:dyDescent="0.25">
      <c r="A199" s="76"/>
      <c r="B199" s="37" t="s">
        <v>143</v>
      </c>
      <c r="C199" s="37" t="s">
        <v>64</v>
      </c>
      <c r="D199" s="37" t="s">
        <v>68</v>
      </c>
      <c r="E199" s="37" t="s">
        <v>78</v>
      </c>
      <c r="F199" s="37" t="s">
        <v>66</v>
      </c>
      <c r="G199" s="77">
        <v>111</v>
      </c>
      <c r="H199" s="78">
        <v>650.12</v>
      </c>
      <c r="I199" s="78">
        <v>72163.850000000006</v>
      </c>
      <c r="J199" s="79">
        <v>0.11260000000000001</v>
      </c>
      <c r="K199" s="78">
        <v>64040.03</v>
      </c>
      <c r="L199" s="78">
        <v>8800.0499999999993</v>
      </c>
      <c r="M199" s="78">
        <v>72840.08</v>
      </c>
      <c r="N199" s="78">
        <v>768480.4</v>
      </c>
      <c r="O199" s="78">
        <v>64040.03</v>
      </c>
      <c r="P199" s="37" t="s">
        <v>262</v>
      </c>
      <c r="Q199" s="80">
        <v>45931</v>
      </c>
      <c r="R199" s="37">
        <v>2025</v>
      </c>
      <c r="S199" s="37">
        <v>10</v>
      </c>
      <c r="T199" s="3"/>
      <c r="U199" s="68" t="b">
        <f t="shared" si="15"/>
        <v>1</v>
      </c>
      <c r="V199" s="68" t="b">
        <f t="shared" si="16"/>
        <v>1</v>
      </c>
      <c r="W199" s="68" t="b">
        <f t="shared" si="17"/>
        <v>1</v>
      </c>
      <c r="X199" s="68" t="b">
        <f t="shared" si="18"/>
        <v>1</v>
      </c>
      <c r="Y199" s="69" t="str">
        <f t="shared" si="19"/>
        <v>✅ PASS</v>
      </c>
    </row>
    <row r="200" spans="1:25" ht="15" customHeight="1" x14ac:dyDescent="0.25">
      <c r="A200" s="70"/>
      <c r="B200" s="33" t="s">
        <v>144</v>
      </c>
      <c r="C200" s="33" t="s">
        <v>61</v>
      </c>
      <c r="D200" s="33" t="s">
        <v>65</v>
      </c>
      <c r="E200" s="33" t="s">
        <v>75</v>
      </c>
      <c r="F200" s="33" t="s">
        <v>66</v>
      </c>
      <c r="G200" s="71">
        <v>137</v>
      </c>
      <c r="H200" s="72">
        <v>278</v>
      </c>
      <c r="I200" s="72">
        <v>38085.43</v>
      </c>
      <c r="J200" s="81">
        <v>0.12720000000000001</v>
      </c>
      <c r="K200" s="72">
        <v>33241.89</v>
      </c>
      <c r="L200" s="72">
        <v>2059.6799999999998</v>
      </c>
      <c r="M200" s="72">
        <v>35301.57</v>
      </c>
      <c r="N200" s="72">
        <v>398902.73</v>
      </c>
      <c r="O200" s="72">
        <v>33241.89</v>
      </c>
      <c r="P200" s="33" t="s">
        <v>262</v>
      </c>
      <c r="Q200" s="74">
        <v>45962</v>
      </c>
      <c r="R200" s="33">
        <v>2025</v>
      </c>
      <c r="S200" s="33">
        <v>11</v>
      </c>
      <c r="T200" s="3"/>
      <c r="U200" s="67" t="b">
        <f t="shared" si="15"/>
        <v>1</v>
      </c>
      <c r="V200" s="67" t="b">
        <f t="shared" si="16"/>
        <v>1</v>
      </c>
      <c r="W200" s="67" t="b">
        <f t="shared" si="17"/>
        <v>1</v>
      </c>
      <c r="X200" s="67" t="b">
        <f t="shared" si="18"/>
        <v>1</v>
      </c>
      <c r="Y200" s="75" t="str">
        <f t="shared" si="19"/>
        <v>✅ PASS</v>
      </c>
    </row>
    <row r="201" spans="1:25" ht="15" customHeight="1" x14ac:dyDescent="0.25">
      <c r="A201" s="76"/>
      <c r="B201" s="37" t="s">
        <v>144</v>
      </c>
      <c r="C201" s="37" t="s">
        <v>61</v>
      </c>
      <c r="D201" s="37" t="s">
        <v>62</v>
      </c>
      <c r="E201" s="37" t="s">
        <v>81</v>
      </c>
      <c r="F201" s="37" t="s">
        <v>66</v>
      </c>
      <c r="G201" s="77">
        <v>96</v>
      </c>
      <c r="H201" s="78">
        <v>888.53</v>
      </c>
      <c r="I201" s="78">
        <v>85298.46</v>
      </c>
      <c r="J201" s="79">
        <v>5.8299999999999998E-2</v>
      </c>
      <c r="K201" s="78">
        <v>80324.929999999993</v>
      </c>
      <c r="L201" s="78">
        <v>-7760.44</v>
      </c>
      <c r="M201" s="78">
        <v>72564.490000000005</v>
      </c>
      <c r="N201" s="78">
        <v>963899.18</v>
      </c>
      <c r="O201" s="78">
        <v>80324.929999999993</v>
      </c>
      <c r="P201" s="37" t="s">
        <v>262</v>
      </c>
      <c r="Q201" s="80">
        <v>45962</v>
      </c>
      <c r="R201" s="37">
        <v>2025</v>
      </c>
      <c r="S201" s="37">
        <v>11</v>
      </c>
      <c r="T201" s="3"/>
      <c r="U201" s="68" t="b">
        <f t="shared" si="15"/>
        <v>1</v>
      </c>
      <c r="V201" s="68" t="b">
        <f t="shared" si="16"/>
        <v>1</v>
      </c>
      <c r="W201" s="68" t="b">
        <f t="shared" si="17"/>
        <v>1</v>
      </c>
      <c r="X201" s="68" t="b">
        <f t="shared" si="18"/>
        <v>1</v>
      </c>
      <c r="Y201" s="69" t="str">
        <f t="shared" si="19"/>
        <v>✅ PASS</v>
      </c>
    </row>
    <row r="202" spans="1:25" ht="15" customHeight="1" x14ac:dyDescent="0.25">
      <c r="A202" s="70"/>
      <c r="B202" s="33" t="s">
        <v>144</v>
      </c>
      <c r="C202" s="33" t="s">
        <v>61</v>
      </c>
      <c r="D202" s="33" t="s">
        <v>68</v>
      </c>
      <c r="E202" s="33" t="s">
        <v>81</v>
      </c>
      <c r="F202" s="33" t="s">
        <v>69</v>
      </c>
      <c r="G202" s="71">
        <v>233</v>
      </c>
      <c r="H202" s="72">
        <v>726.16</v>
      </c>
      <c r="I202" s="72">
        <v>169195.01</v>
      </c>
      <c r="J202" s="73">
        <v>4.5100000000000001E-2</v>
      </c>
      <c r="K202" s="72">
        <v>161559.95000000001</v>
      </c>
      <c r="L202" s="72">
        <v>16290.89</v>
      </c>
      <c r="M202" s="72">
        <v>177850.84</v>
      </c>
      <c r="N202" s="72">
        <v>1938719.38</v>
      </c>
      <c r="O202" s="72">
        <v>161559.95000000001</v>
      </c>
      <c r="P202" s="33" t="s">
        <v>262</v>
      </c>
      <c r="Q202" s="74">
        <v>45962</v>
      </c>
      <c r="R202" s="33">
        <v>2025</v>
      </c>
      <c r="S202" s="33">
        <v>11</v>
      </c>
      <c r="T202" s="3"/>
      <c r="U202" s="67" t="b">
        <f t="shared" si="15"/>
        <v>1</v>
      </c>
      <c r="V202" s="67" t="b">
        <f t="shared" si="16"/>
        <v>1</v>
      </c>
      <c r="W202" s="67" t="b">
        <f t="shared" si="17"/>
        <v>1</v>
      </c>
      <c r="X202" s="67" t="b">
        <f t="shared" si="18"/>
        <v>1</v>
      </c>
      <c r="Y202" s="75" t="str">
        <f t="shared" si="19"/>
        <v>✅ PASS</v>
      </c>
    </row>
    <row r="203" spans="1:25" ht="15" customHeight="1" x14ac:dyDescent="0.25">
      <c r="A203" s="76"/>
      <c r="B203" s="37" t="s">
        <v>144</v>
      </c>
      <c r="C203" s="37" t="s">
        <v>67</v>
      </c>
      <c r="D203" s="37" t="s">
        <v>65</v>
      </c>
      <c r="E203" s="37" t="s">
        <v>75</v>
      </c>
      <c r="F203" s="37" t="s">
        <v>69</v>
      </c>
      <c r="G203" s="77">
        <v>200</v>
      </c>
      <c r="H203" s="78">
        <v>638.04999999999995</v>
      </c>
      <c r="I203" s="78">
        <v>127609.59</v>
      </c>
      <c r="J203" s="79">
        <v>6.7100000000000007E-2</v>
      </c>
      <c r="K203" s="78">
        <v>119053.34</v>
      </c>
      <c r="L203" s="78">
        <v>-1254.9000000000001</v>
      </c>
      <c r="M203" s="78">
        <v>117798.44</v>
      </c>
      <c r="N203" s="78">
        <v>1428640.12</v>
      </c>
      <c r="O203" s="78">
        <v>119053.34</v>
      </c>
      <c r="P203" s="37" t="s">
        <v>262</v>
      </c>
      <c r="Q203" s="80">
        <v>45962</v>
      </c>
      <c r="R203" s="37">
        <v>2025</v>
      </c>
      <c r="S203" s="37">
        <v>11</v>
      </c>
      <c r="T203" s="3"/>
      <c r="U203" s="68" t="b">
        <f t="shared" si="15"/>
        <v>1</v>
      </c>
      <c r="V203" s="68" t="b">
        <f t="shared" si="16"/>
        <v>1</v>
      </c>
      <c r="W203" s="68" t="b">
        <f t="shared" si="17"/>
        <v>1</v>
      </c>
      <c r="X203" s="68" t="b">
        <f t="shared" si="18"/>
        <v>1</v>
      </c>
      <c r="Y203" s="69" t="str">
        <f t="shared" si="19"/>
        <v>✅ PASS</v>
      </c>
    </row>
    <row r="204" spans="1:25" ht="15" customHeight="1" x14ac:dyDescent="0.25">
      <c r="A204" s="70"/>
      <c r="B204" s="33" t="s">
        <v>144</v>
      </c>
      <c r="C204" s="33" t="s">
        <v>67</v>
      </c>
      <c r="D204" s="33" t="s">
        <v>62</v>
      </c>
      <c r="E204" s="33" t="s">
        <v>78</v>
      </c>
      <c r="F204" s="33" t="s">
        <v>66</v>
      </c>
      <c r="G204" s="71">
        <v>120</v>
      </c>
      <c r="H204" s="72">
        <v>671.3</v>
      </c>
      <c r="I204" s="72">
        <v>80556.25</v>
      </c>
      <c r="J204" s="73">
        <v>8.3299999999999999E-2</v>
      </c>
      <c r="K204" s="72">
        <v>73849.179999999993</v>
      </c>
      <c r="L204" s="72">
        <v>-4985.3900000000003</v>
      </c>
      <c r="M204" s="72">
        <v>68863.789999999994</v>
      </c>
      <c r="N204" s="72">
        <v>886190.16</v>
      </c>
      <c r="O204" s="72">
        <v>73849.179999999993</v>
      </c>
      <c r="P204" s="33" t="s">
        <v>262</v>
      </c>
      <c r="Q204" s="74">
        <v>45962</v>
      </c>
      <c r="R204" s="33">
        <v>2025</v>
      </c>
      <c r="S204" s="33">
        <v>11</v>
      </c>
      <c r="T204" s="3"/>
      <c r="U204" s="67" t="b">
        <f t="shared" si="15"/>
        <v>1</v>
      </c>
      <c r="V204" s="67" t="b">
        <f t="shared" si="16"/>
        <v>1</v>
      </c>
      <c r="W204" s="67" t="b">
        <f t="shared" si="17"/>
        <v>1</v>
      </c>
      <c r="X204" s="67" t="b">
        <f t="shared" si="18"/>
        <v>1</v>
      </c>
      <c r="Y204" s="75" t="str">
        <f t="shared" si="19"/>
        <v>✅ PASS</v>
      </c>
    </row>
    <row r="205" spans="1:25" ht="15" customHeight="1" x14ac:dyDescent="0.25">
      <c r="A205" s="76"/>
      <c r="B205" s="37" t="s">
        <v>144</v>
      </c>
      <c r="C205" s="37" t="s">
        <v>67</v>
      </c>
      <c r="D205" s="37" t="s">
        <v>68</v>
      </c>
      <c r="E205" s="37" t="s">
        <v>81</v>
      </c>
      <c r="F205" s="37" t="s">
        <v>63</v>
      </c>
      <c r="G205" s="77">
        <v>147</v>
      </c>
      <c r="H205" s="78">
        <v>540.01</v>
      </c>
      <c r="I205" s="78">
        <v>79380.850000000006</v>
      </c>
      <c r="J205" s="79">
        <v>3.2000000000000001E-2</v>
      </c>
      <c r="K205" s="78">
        <v>76842.63</v>
      </c>
      <c r="L205" s="78">
        <v>5519.53</v>
      </c>
      <c r="M205" s="78">
        <v>82362.16</v>
      </c>
      <c r="N205" s="78">
        <v>922111.58</v>
      </c>
      <c r="O205" s="78">
        <v>76842.63</v>
      </c>
      <c r="P205" s="37" t="s">
        <v>262</v>
      </c>
      <c r="Q205" s="80">
        <v>45962</v>
      </c>
      <c r="R205" s="37">
        <v>2025</v>
      </c>
      <c r="S205" s="37">
        <v>11</v>
      </c>
      <c r="T205" s="3"/>
      <c r="U205" s="68" t="b">
        <f t="shared" si="15"/>
        <v>1</v>
      </c>
      <c r="V205" s="68" t="b">
        <f t="shared" si="16"/>
        <v>1</v>
      </c>
      <c r="W205" s="68" t="b">
        <f t="shared" si="17"/>
        <v>1</v>
      </c>
      <c r="X205" s="68" t="b">
        <f t="shared" si="18"/>
        <v>1</v>
      </c>
      <c r="Y205" s="69" t="str">
        <f t="shared" si="19"/>
        <v>✅ PASS</v>
      </c>
    </row>
    <row r="206" spans="1:25" ht="15" customHeight="1" x14ac:dyDescent="0.25">
      <c r="A206" s="70"/>
      <c r="B206" s="33" t="s">
        <v>144</v>
      </c>
      <c r="C206" s="33" t="s">
        <v>64</v>
      </c>
      <c r="D206" s="33" t="s">
        <v>65</v>
      </c>
      <c r="E206" s="33" t="s">
        <v>75</v>
      </c>
      <c r="F206" s="33" t="s">
        <v>69</v>
      </c>
      <c r="G206" s="71">
        <v>105</v>
      </c>
      <c r="H206" s="72">
        <v>989.08</v>
      </c>
      <c r="I206" s="72">
        <v>103853.3</v>
      </c>
      <c r="J206" s="81">
        <v>0.1384</v>
      </c>
      <c r="K206" s="72">
        <v>89478.5</v>
      </c>
      <c r="L206" s="72">
        <v>1216.07</v>
      </c>
      <c r="M206" s="72">
        <v>90694.57</v>
      </c>
      <c r="N206" s="72">
        <v>1073742.02</v>
      </c>
      <c r="O206" s="72">
        <v>89478.5</v>
      </c>
      <c r="P206" s="33" t="s">
        <v>262</v>
      </c>
      <c r="Q206" s="74">
        <v>45962</v>
      </c>
      <c r="R206" s="33">
        <v>2025</v>
      </c>
      <c r="S206" s="33">
        <v>11</v>
      </c>
      <c r="T206" s="3"/>
      <c r="U206" s="67" t="b">
        <f t="shared" si="15"/>
        <v>1</v>
      </c>
      <c r="V206" s="67" t="b">
        <f t="shared" si="16"/>
        <v>1</v>
      </c>
      <c r="W206" s="67" t="b">
        <f t="shared" si="17"/>
        <v>1</v>
      </c>
      <c r="X206" s="67" t="b">
        <f t="shared" si="18"/>
        <v>1</v>
      </c>
      <c r="Y206" s="75" t="str">
        <f t="shared" si="19"/>
        <v>✅ PASS</v>
      </c>
    </row>
    <row r="207" spans="1:25" ht="15" customHeight="1" x14ac:dyDescent="0.25">
      <c r="A207" s="76"/>
      <c r="B207" s="37" t="s">
        <v>144</v>
      </c>
      <c r="C207" s="37" t="s">
        <v>64</v>
      </c>
      <c r="D207" s="37" t="s">
        <v>62</v>
      </c>
      <c r="E207" s="37" t="s">
        <v>81</v>
      </c>
      <c r="F207" s="37" t="s">
        <v>66</v>
      </c>
      <c r="G207" s="77">
        <v>300</v>
      </c>
      <c r="H207" s="78">
        <v>436.63</v>
      </c>
      <c r="I207" s="78">
        <v>130988.28</v>
      </c>
      <c r="J207" s="79">
        <v>3.9899999999999998E-2</v>
      </c>
      <c r="K207" s="78">
        <v>125764.99</v>
      </c>
      <c r="L207" s="78">
        <v>-7959.98</v>
      </c>
      <c r="M207" s="78">
        <v>117805.01</v>
      </c>
      <c r="N207" s="78">
        <v>1509179.88</v>
      </c>
      <c r="O207" s="78">
        <v>125764.99</v>
      </c>
      <c r="P207" s="37" t="s">
        <v>262</v>
      </c>
      <c r="Q207" s="80">
        <v>45962</v>
      </c>
      <c r="R207" s="37">
        <v>2025</v>
      </c>
      <c r="S207" s="37">
        <v>11</v>
      </c>
      <c r="T207" s="3"/>
      <c r="U207" s="68" t="b">
        <f t="shared" si="15"/>
        <v>1</v>
      </c>
      <c r="V207" s="68" t="b">
        <f t="shared" si="16"/>
        <v>1</v>
      </c>
      <c r="W207" s="68" t="b">
        <f t="shared" si="17"/>
        <v>1</v>
      </c>
      <c r="X207" s="68" t="b">
        <f t="shared" si="18"/>
        <v>1</v>
      </c>
      <c r="Y207" s="69" t="str">
        <f t="shared" si="19"/>
        <v>✅ PASS</v>
      </c>
    </row>
    <row r="208" spans="1:25" ht="15" customHeight="1" x14ac:dyDescent="0.25">
      <c r="A208" s="70"/>
      <c r="B208" s="33" t="s">
        <v>144</v>
      </c>
      <c r="C208" s="33" t="s">
        <v>64</v>
      </c>
      <c r="D208" s="33" t="s">
        <v>68</v>
      </c>
      <c r="E208" s="33" t="s">
        <v>81</v>
      </c>
      <c r="F208" s="33" t="s">
        <v>69</v>
      </c>
      <c r="G208" s="71">
        <v>177</v>
      </c>
      <c r="H208" s="72">
        <v>315.95999999999998</v>
      </c>
      <c r="I208" s="72">
        <v>55925.59</v>
      </c>
      <c r="J208" s="73">
        <v>5.8400000000000001E-2</v>
      </c>
      <c r="K208" s="72">
        <v>52661.17</v>
      </c>
      <c r="L208" s="72">
        <v>-2487.13</v>
      </c>
      <c r="M208" s="72">
        <v>50174.05</v>
      </c>
      <c r="N208" s="72">
        <v>631934.06999999995</v>
      </c>
      <c r="O208" s="72">
        <v>52661.17</v>
      </c>
      <c r="P208" s="33" t="s">
        <v>262</v>
      </c>
      <c r="Q208" s="74">
        <v>45962</v>
      </c>
      <c r="R208" s="33">
        <v>2025</v>
      </c>
      <c r="S208" s="33">
        <v>11</v>
      </c>
      <c r="T208" s="3"/>
      <c r="U208" s="67" t="b">
        <f t="shared" si="15"/>
        <v>1</v>
      </c>
      <c r="V208" s="67" t="b">
        <f t="shared" si="16"/>
        <v>1</v>
      </c>
      <c r="W208" s="67" t="b">
        <f t="shared" si="17"/>
        <v>1</v>
      </c>
      <c r="X208" s="67" t="b">
        <f t="shared" si="18"/>
        <v>1</v>
      </c>
      <c r="Y208" s="75" t="str">
        <f t="shared" si="19"/>
        <v>✅ PASS</v>
      </c>
    </row>
    <row r="209" spans="1:25" ht="15" customHeight="1" x14ac:dyDescent="0.25">
      <c r="A209" s="76"/>
      <c r="B209" s="37" t="s">
        <v>145</v>
      </c>
      <c r="C209" s="37" t="s">
        <v>61</v>
      </c>
      <c r="D209" s="37" t="s">
        <v>65</v>
      </c>
      <c r="E209" s="37" t="s">
        <v>78</v>
      </c>
      <c r="F209" s="37" t="s">
        <v>63</v>
      </c>
      <c r="G209" s="77">
        <v>69</v>
      </c>
      <c r="H209" s="78">
        <v>573.72</v>
      </c>
      <c r="I209" s="78">
        <v>39586.839999999997</v>
      </c>
      <c r="J209" s="82">
        <v>0.14699999999999999</v>
      </c>
      <c r="K209" s="78">
        <v>33769.32</v>
      </c>
      <c r="L209" s="78">
        <v>-254.79</v>
      </c>
      <c r="M209" s="78">
        <v>33514.53</v>
      </c>
      <c r="N209" s="78">
        <v>405231.84</v>
      </c>
      <c r="O209" s="78">
        <v>33769.32</v>
      </c>
      <c r="P209" s="37" t="s">
        <v>262</v>
      </c>
      <c r="Q209" s="80">
        <v>45992</v>
      </c>
      <c r="R209" s="37">
        <v>2025</v>
      </c>
      <c r="S209" s="37">
        <v>12</v>
      </c>
      <c r="T209" s="3"/>
      <c r="U209" s="68" t="b">
        <f t="shared" si="15"/>
        <v>1</v>
      </c>
      <c r="V209" s="68" t="b">
        <f t="shared" si="16"/>
        <v>1</v>
      </c>
      <c r="W209" s="68" t="b">
        <f t="shared" si="17"/>
        <v>1</v>
      </c>
      <c r="X209" s="68" t="b">
        <f t="shared" si="18"/>
        <v>1</v>
      </c>
      <c r="Y209" s="69" t="str">
        <f t="shared" si="19"/>
        <v>✅ PASS</v>
      </c>
    </row>
    <row r="210" spans="1:25" ht="15" customHeight="1" x14ac:dyDescent="0.25">
      <c r="A210" s="70"/>
      <c r="B210" s="33" t="s">
        <v>145</v>
      </c>
      <c r="C210" s="33" t="s">
        <v>61</v>
      </c>
      <c r="D210" s="33" t="s">
        <v>62</v>
      </c>
      <c r="E210" s="33" t="s">
        <v>75</v>
      </c>
      <c r="F210" s="33" t="s">
        <v>66</v>
      </c>
      <c r="G210" s="71">
        <v>251</v>
      </c>
      <c r="H210" s="72">
        <v>1070.57</v>
      </c>
      <c r="I210" s="72">
        <v>268713.95</v>
      </c>
      <c r="J210" s="81">
        <v>0.21820000000000001</v>
      </c>
      <c r="K210" s="72">
        <v>210093.92</v>
      </c>
      <c r="L210" s="72">
        <v>16894.03</v>
      </c>
      <c r="M210" s="72">
        <v>226987.94</v>
      </c>
      <c r="N210" s="72">
        <v>2521127</v>
      </c>
      <c r="O210" s="72">
        <v>210093.92</v>
      </c>
      <c r="P210" s="33" t="s">
        <v>262</v>
      </c>
      <c r="Q210" s="74">
        <v>45992</v>
      </c>
      <c r="R210" s="33">
        <v>2025</v>
      </c>
      <c r="S210" s="33">
        <v>12</v>
      </c>
      <c r="T210" s="3"/>
      <c r="U210" s="67" t="b">
        <f t="shared" si="15"/>
        <v>1</v>
      </c>
      <c r="V210" s="67" t="b">
        <f t="shared" si="16"/>
        <v>1</v>
      </c>
      <c r="W210" s="67" t="b">
        <f t="shared" si="17"/>
        <v>1</v>
      </c>
      <c r="X210" s="67" t="b">
        <f t="shared" si="18"/>
        <v>1</v>
      </c>
      <c r="Y210" s="75" t="str">
        <f t="shared" si="19"/>
        <v>✅ PASS</v>
      </c>
    </row>
    <row r="211" spans="1:25" ht="15" customHeight="1" x14ac:dyDescent="0.25">
      <c r="A211" s="76"/>
      <c r="B211" s="37" t="s">
        <v>145</v>
      </c>
      <c r="C211" s="37" t="s">
        <v>61</v>
      </c>
      <c r="D211" s="37" t="s">
        <v>68</v>
      </c>
      <c r="E211" s="37" t="s">
        <v>75</v>
      </c>
      <c r="F211" s="37" t="s">
        <v>66</v>
      </c>
      <c r="G211" s="77">
        <v>144</v>
      </c>
      <c r="H211" s="78">
        <v>452.62</v>
      </c>
      <c r="I211" s="78">
        <v>65177.81</v>
      </c>
      <c r="J211" s="79">
        <v>0.1016</v>
      </c>
      <c r="K211" s="78">
        <v>58553.23</v>
      </c>
      <c r="L211" s="78">
        <v>-5332.92</v>
      </c>
      <c r="M211" s="78">
        <v>53220.32</v>
      </c>
      <c r="N211" s="78">
        <v>702638.81</v>
      </c>
      <c r="O211" s="78">
        <v>58553.23</v>
      </c>
      <c r="P211" s="37" t="s">
        <v>262</v>
      </c>
      <c r="Q211" s="80">
        <v>45992</v>
      </c>
      <c r="R211" s="37">
        <v>2025</v>
      </c>
      <c r="S211" s="37">
        <v>12</v>
      </c>
      <c r="T211" s="3"/>
      <c r="U211" s="68" t="b">
        <f t="shared" si="15"/>
        <v>1</v>
      </c>
      <c r="V211" s="68" t="b">
        <f t="shared" si="16"/>
        <v>1</v>
      </c>
      <c r="W211" s="68" t="b">
        <f t="shared" si="17"/>
        <v>1</v>
      </c>
      <c r="X211" s="68" t="b">
        <f t="shared" si="18"/>
        <v>1</v>
      </c>
      <c r="Y211" s="69" t="str">
        <f t="shared" si="19"/>
        <v>✅ PASS</v>
      </c>
    </row>
    <row r="212" spans="1:25" ht="15" customHeight="1" x14ac:dyDescent="0.25">
      <c r="A212" s="70"/>
      <c r="B212" s="33" t="s">
        <v>145</v>
      </c>
      <c r="C212" s="33" t="s">
        <v>67</v>
      </c>
      <c r="D212" s="33" t="s">
        <v>65</v>
      </c>
      <c r="E212" s="33" t="s">
        <v>75</v>
      </c>
      <c r="F212" s="33" t="s">
        <v>69</v>
      </c>
      <c r="G212" s="71">
        <v>150</v>
      </c>
      <c r="H212" s="72">
        <v>665.89</v>
      </c>
      <c r="I212" s="72">
        <v>99883.11</v>
      </c>
      <c r="J212" s="81">
        <v>0.12620000000000001</v>
      </c>
      <c r="K212" s="72">
        <v>87277.440000000002</v>
      </c>
      <c r="L212" s="72">
        <v>13051.02</v>
      </c>
      <c r="M212" s="72">
        <v>100328.45</v>
      </c>
      <c r="N212" s="72">
        <v>1047329.22</v>
      </c>
      <c r="O212" s="72">
        <v>87277.440000000002</v>
      </c>
      <c r="P212" s="33" t="s">
        <v>262</v>
      </c>
      <c r="Q212" s="74">
        <v>45992</v>
      </c>
      <c r="R212" s="33">
        <v>2025</v>
      </c>
      <c r="S212" s="33">
        <v>12</v>
      </c>
      <c r="T212" s="3"/>
      <c r="U212" s="67" t="b">
        <f t="shared" si="15"/>
        <v>1</v>
      </c>
      <c r="V212" s="67" t="b">
        <f t="shared" si="16"/>
        <v>1</v>
      </c>
      <c r="W212" s="67" t="b">
        <f t="shared" si="17"/>
        <v>1</v>
      </c>
      <c r="X212" s="67" t="b">
        <f t="shared" si="18"/>
        <v>1</v>
      </c>
      <c r="Y212" s="75" t="str">
        <f t="shared" si="19"/>
        <v>✅ PASS</v>
      </c>
    </row>
    <row r="213" spans="1:25" ht="15" customHeight="1" x14ac:dyDescent="0.25">
      <c r="A213" s="76"/>
      <c r="B213" s="37" t="s">
        <v>145</v>
      </c>
      <c r="C213" s="37" t="s">
        <v>67</v>
      </c>
      <c r="D213" s="37" t="s">
        <v>62</v>
      </c>
      <c r="E213" s="37" t="s">
        <v>78</v>
      </c>
      <c r="F213" s="37" t="s">
        <v>63</v>
      </c>
      <c r="G213" s="77">
        <v>290</v>
      </c>
      <c r="H213" s="78">
        <v>509.08</v>
      </c>
      <c r="I213" s="78">
        <v>147633.51</v>
      </c>
      <c r="J213" s="79">
        <v>5.33E-2</v>
      </c>
      <c r="K213" s="78">
        <v>139771.51999999999</v>
      </c>
      <c r="L213" s="78">
        <v>9859.16</v>
      </c>
      <c r="M213" s="78">
        <v>149630.68</v>
      </c>
      <c r="N213" s="78">
        <v>1677258.2</v>
      </c>
      <c r="O213" s="78">
        <v>139771.51999999999</v>
      </c>
      <c r="P213" s="37" t="s">
        <v>262</v>
      </c>
      <c r="Q213" s="80">
        <v>45992</v>
      </c>
      <c r="R213" s="37">
        <v>2025</v>
      </c>
      <c r="S213" s="37">
        <v>12</v>
      </c>
      <c r="T213" s="3"/>
      <c r="U213" s="68" t="b">
        <f t="shared" si="15"/>
        <v>1</v>
      </c>
      <c r="V213" s="68" t="b">
        <f t="shared" si="16"/>
        <v>1</v>
      </c>
      <c r="W213" s="68" t="b">
        <f t="shared" si="17"/>
        <v>1</v>
      </c>
      <c r="X213" s="68" t="b">
        <f t="shared" si="18"/>
        <v>1</v>
      </c>
      <c r="Y213" s="69" t="str">
        <f t="shared" si="19"/>
        <v>✅ PASS</v>
      </c>
    </row>
    <row r="214" spans="1:25" ht="15" customHeight="1" x14ac:dyDescent="0.25">
      <c r="A214" s="70"/>
      <c r="B214" s="33" t="s">
        <v>145</v>
      </c>
      <c r="C214" s="33" t="s">
        <v>67</v>
      </c>
      <c r="D214" s="33" t="s">
        <v>68</v>
      </c>
      <c r="E214" s="33" t="s">
        <v>81</v>
      </c>
      <c r="F214" s="33" t="s">
        <v>66</v>
      </c>
      <c r="G214" s="71">
        <v>180</v>
      </c>
      <c r="H214" s="72">
        <v>984.9</v>
      </c>
      <c r="I214" s="72">
        <v>177281.27</v>
      </c>
      <c r="J214" s="81">
        <v>0.193</v>
      </c>
      <c r="K214" s="72">
        <v>143074.71</v>
      </c>
      <c r="L214" s="72">
        <v>20086.18</v>
      </c>
      <c r="M214" s="72">
        <v>163160.88</v>
      </c>
      <c r="N214" s="72">
        <v>1716896.47</v>
      </c>
      <c r="O214" s="72">
        <v>143074.71</v>
      </c>
      <c r="P214" s="33" t="s">
        <v>262</v>
      </c>
      <c r="Q214" s="74">
        <v>45992</v>
      </c>
      <c r="R214" s="33">
        <v>2025</v>
      </c>
      <c r="S214" s="33">
        <v>12</v>
      </c>
      <c r="T214" s="3"/>
      <c r="U214" s="67" t="b">
        <f t="shared" si="15"/>
        <v>1</v>
      </c>
      <c r="V214" s="67" t="b">
        <f t="shared" si="16"/>
        <v>1</v>
      </c>
      <c r="W214" s="67" t="b">
        <f t="shared" si="17"/>
        <v>1</v>
      </c>
      <c r="X214" s="67" t="b">
        <f t="shared" si="18"/>
        <v>1</v>
      </c>
      <c r="Y214" s="75" t="str">
        <f t="shared" si="19"/>
        <v>✅ PASS</v>
      </c>
    </row>
    <row r="215" spans="1:25" ht="15" customHeight="1" x14ac:dyDescent="0.25">
      <c r="A215" s="76"/>
      <c r="B215" s="37" t="s">
        <v>145</v>
      </c>
      <c r="C215" s="37" t="s">
        <v>64</v>
      </c>
      <c r="D215" s="37" t="s">
        <v>65</v>
      </c>
      <c r="E215" s="37" t="s">
        <v>81</v>
      </c>
      <c r="F215" s="37" t="s">
        <v>63</v>
      </c>
      <c r="G215" s="77">
        <v>266</v>
      </c>
      <c r="H215" s="78">
        <v>1168.1300000000001</v>
      </c>
      <c r="I215" s="78">
        <v>310722.81</v>
      </c>
      <c r="J215" s="82">
        <v>0.2114</v>
      </c>
      <c r="K215" s="78">
        <v>245038.12</v>
      </c>
      <c r="L215" s="78">
        <v>13146.77</v>
      </c>
      <c r="M215" s="78">
        <v>258184.89</v>
      </c>
      <c r="N215" s="78">
        <v>2940457.42</v>
      </c>
      <c r="O215" s="78">
        <v>245038.12</v>
      </c>
      <c r="P215" s="37" t="s">
        <v>262</v>
      </c>
      <c r="Q215" s="80">
        <v>45992</v>
      </c>
      <c r="R215" s="37">
        <v>2025</v>
      </c>
      <c r="S215" s="37">
        <v>12</v>
      </c>
      <c r="T215" s="3"/>
      <c r="U215" s="68" t="b">
        <f t="shared" si="15"/>
        <v>1</v>
      </c>
      <c r="V215" s="68" t="b">
        <f t="shared" si="16"/>
        <v>1</v>
      </c>
      <c r="W215" s="68" t="b">
        <f t="shared" si="17"/>
        <v>1</v>
      </c>
      <c r="X215" s="68" t="b">
        <f t="shared" si="18"/>
        <v>1</v>
      </c>
      <c r="Y215" s="69" t="str">
        <f t="shared" si="19"/>
        <v>✅ PASS</v>
      </c>
    </row>
    <row r="216" spans="1:25" ht="15" customHeight="1" x14ac:dyDescent="0.25">
      <c r="A216" s="70"/>
      <c r="B216" s="33" t="s">
        <v>145</v>
      </c>
      <c r="C216" s="33" t="s">
        <v>64</v>
      </c>
      <c r="D216" s="33" t="s">
        <v>62</v>
      </c>
      <c r="E216" s="33" t="s">
        <v>75</v>
      </c>
      <c r="F216" s="33" t="s">
        <v>63</v>
      </c>
      <c r="G216" s="71">
        <v>165</v>
      </c>
      <c r="H216" s="72">
        <v>277.85000000000002</v>
      </c>
      <c r="I216" s="72">
        <v>45845.57</v>
      </c>
      <c r="J216" s="81">
        <v>0.2082</v>
      </c>
      <c r="K216" s="72">
        <v>36299.040000000001</v>
      </c>
      <c r="L216" s="72">
        <v>-114.77</v>
      </c>
      <c r="M216" s="72">
        <v>36184.269999999997</v>
      </c>
      <c r="N216" s="72">
        <v>435588.5</v>
      </c>
      <c r="O216" s="72">
        <v>36299.040000000001</v>
      </c>
      <c r="P216" s="33" t="s">
        <v>262</v>
      </c>
      <c r="Q216" s="74">
        <v>45992</v>
      </c>
      <c r="R216" s="33">
        <v>2025</v>
      </c>
      <c r="S216" s="33">
        <v>12</v>
      </c>
      <c r="T216" s="3"/>
      <c r="U216" s="67" t="b">
        <f t="shared" si="15"/>
        <v>1</v>
      </c>
      <c r="V216" s="67" t="b">
        <f t="shared" si="16"/>
        <v>1</v>
      </c>
      <c r="W216" s="67" t="b">
        <f t="shared" si="17"/>
        <v>1</v>
      </c>
      <c r="X216" s="67" t="b">
        <f t="shared" si="18"/>
        <v>1</v>
      </c>
      <c r="Y216" s="75" t="str">
        <f t="shared" si="19"/>
        <v>✅ PASS</v>
      </c>
    </row>
    <row r="217" spans="1:25" ht="15" customHeight="1" x14ac:dyDescent="0.25">
      <c r="A217" s="76"/>
      <c r="B217" s="116" t="s">
        <v>145</v>
      </c>
      <c r="C217" s="116" t="s">
        <v>64</v>
      </c>
      <c r="D217" s="116" t="s">
        <v>68</v>
      </c>
      <c r="E217" s="116" t="s">
        <v>75</v>
      </c>
      <c r="F217" s="116" t="s">
        <v>63</v>
      </c>
      <c r="G217" s="117">
        <v>289</v>
      </c>
      <c r="H217" s="118">
        <v>769.49</v>
      </c>
      <c r="I217" s="118">
        <v>222382.4</v>
      </c>
      <c r="J217" s="119">
        <v>0.18060000000000001</v>
      </c>
      <c r="K217" s="118">
        <v>182222.13</v>
      </c>
      <c r="L217" s="118">
        <v>1096.6099999999999</v>
      </c>
      <c r="M217" s="118">
        <v>183318.74</v>
      </c>
      <c r="N217" s="118">
        <v>2186665.52</v>
      </c>
      <c r="O217" s="118">
        <v>182222.13</v>
      </c>
      <c r="P217" s="116" t="s">
        <v>262</v>
      </c>
      <c r="Q217" s="120">
        <v>45992</v>
      </c>
      <c r="R217" s="116">
        <v>2025</v>
      </c>
      <c r="S217" s="116">
        <v>12</v>
      </c>
      <c r="T217" s="3"/>
      <c r="U217" s="68" t="b">
        <f t="shared" si="15"/>
        <v>1</v>
      </c>
      <c r="V217" s="68" t="b">
        <f t="shared" si="16"/>
        <v>1</v>
      </c>
      <c r="W217" s="68" t="b">
        <f t="shared" si="17"/>
        <v>1</v>
      </c>
      <c r="X217" s="68" t="b">
        <f t="shared" si="18"/>
        <v>1</v>
      </c>
      <c r="Y217" s="69" t="str">
        <f t="shared" si="19"/>
        <v>✅ PASS</v>
      </c>
    </row>
    <row r="218" spans="1:25" x14ac:dyDescent="0.25">
      <c r="T218" s="3"/>
    </row>
    <row r="219" spans="1:25" ht="6" customHeight="1" x14ac:dyDescent="0.25">
      <c r="T219" s="3"/>
    </row>
    <row r="220" spans="1:25" ht="18" customHeight="1" x14ac:dyDescent="0.25">
      <c r="T220" s="3"/>
      <c r="U220" s="125" t="s">
        <v>263</v>
      </c>
      <c r="V220" s="125"/>
      <c r="W220" s="125"/>
      <c r="X220" s="125"/>
      <c r="Y220" s="125"/>
    </row>
    <row r="221" spans="1:25" ht="18" customHeight="1" x14ac:dyDescent="0.25">
      <c r="T221" s="3"/>
      <c r="U221" s="126" t="s">
        <v>264</v>
      </c>
      <c r="V221" s="126"/>
      <c r="W221" s="126"/>
      <c r="X221" s="126"/>
      <c r="Y221" s="83">
        <f>COUNTA(B2:B217)</f>
        <v>216</v>
      </c>
    </row>
    <row r="222" spans="1:25" ht="18" customHeight="1" x14ac:dyDescent="0.25">
      <c r="T222" s="3"/>
      <c r="U222" s="126" t="s">
        <v>265</v>
      </c>
      <c r="V222" s="126"/>
      <c r="W222" s="126"/>
      <c r="X222" s="126"/>
      <c r="Y222" s="84">
        <f>COUNTIF(Y2:Y217,"✅ PASS")</f>
        <v>216</v>
      </c>
    </row>
    <row r="223" spans="1:25" ht="18" customHeight="1" x14ac:dyDescent="0.25">
      <c r="T223" s="3"/>
      <c r="U223" s="126" t="s">
        <v>266</v>
      </c>
      <c r="V223" s="126"/>
      <c r="W223" s="126"/>
      <c r="X223" s="126"/>
      <c r="Y223" s="85">
        <f>COUNTIF(Y2:Y217,"❌ FAIL")</f>
        <v>0</v>
      </c>
    </row>
    <row r="224" spans="1:25" x14ac:dyDescent="0.25">
      <c r="T224" s="3"/>
    </row>
  </sheetData>
  <mergeCells count="4">
    <mergeCell ref="U220:Y220"/>
    <mergeCell ref="U221:X221"/>
    <mergeCell ref="U222:X222"/>
    <mergeCell ref="U223:X223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758B4-570B-43F8-B501-DEC9A8C429F4}">
  <sheetPr>
    <tabColor theme="8" tint="0.39997558519241921"/>
  </sheetPr>
  <dimension ref="A1:AC217"/>
  <sheetViews>
    <sheetView topLeftCell="O1" workbookViewId="0">
      <selection activeCell="Z17" sqref="Z17"/>
    </sheetView>
  </sheetViews>
  <sheetFormatPr defaultRowHeight="15" x14ac:dyDescent="0.25"/>
  <cols>
    <col min="1" max="1" width="9.28515625" bestFit="1" customWidth="1"/>
    <col min="2" max="2" width="15.42578125" bestFit="1" customWidth="1"/>
    <col min="3" max="3" width="10.140625" bestFit="1" customWidth="1"/>
    <col min="4" max="4" width="16" bestFit="1" customWidth="1"/>
    <col min="5" max="5" width="20.42578125" bestFit="1" customWidth="1"/>
    <col min="6" max="6" width="12.28515625" bestFit="1" customWidth="1"/>
    <col min="7" max="7" width="15.5703125" bestFit="1" customWidth="1"/>
    <col min="8" max="8" width="16.7109375" bestFit="1" customWidth="1"/>
    <col min="9" max="9" width="14.42578125" bestFit="1" customWidth="1"/>
    <col min="10" max="10" width="19.85546875" bestFit="1" customWidth="1"/>
    <col min="11" max="11" width="13.85546875" bestFit="1" customWidth="1"/>
    <col min="12" max="12" width="14.85546875" bestFit="1" customWidth="1"/>
    <col min="13" max="13" width="18" bestFit="1" customWidth="1"/>
    <col min="14" max="14" width="12.140625" bestFit="1" customWidth="1"/>
    <col min="15" max="15" width="27" bestFit="1" customWidth="1"/>
    <col min="16" max="16" width="22" bestFit="1" customWidth="1"/>
    <col min="17" max="17" width="25.140625" bestFit="1" customWidth="1"/>
    <col min="18" max="18" width="19.140625" bestFit="1" customWidth="1"/>
    <col min="19" max="19" width="11" bestFit="1" customWidth="1"/>
    <col min="20" max="20" width="10" bestFit="1" customWidth="1"/>
    <col min="21" max="21" width="18.28515625" bestFit="1" customWidth="1"/>
    <col min="22" max="22" width="12.42578125" bestFit="1" customWidth="1"/>
    <col min="23" max="23" width="23.85546875" bestFit="1" customWidth="1"/>
    <col min="24" max="24" width="22" bestFit="1" customWidth="1"/>
    <col min="25" max="25" width="26.85546875" bestFit="1" customWidth="1"/>
    <col min="26" max="26" width="18.42578125" bestFit="1" customWidth="1"/>
    <col min="27" max="27" width="22.28515625" bestFit="1" customWidth="1"/>
    <col min="28" max="28" width="13.5703125" bestFit="1" customWidth="1"/>
    <col min="29" max="29" width="17" bestFit="1" customWidth="1"/>
  </cols>
  <sheetData>
    <row r="1" spans="1:29" x14ac:dyDescent="0.25">
      <c r="A1" t="s">
        <v>115</v>
      </c>
      <c r="B1" t="s">
        <v>57</v>
      </c>
      <c r="C1" t="s">
        <v>59</v>
      </c>
      <c r="D1" t="s">
        <v>72</v>
      </c>
      <c r="E1" t="s">
        <v>151</v>
      </c>
      <c r="F1" t="s">
        <v>249</v>
      </c>
      <c r="G1" t="s">
        <v>250</v>
      </c>
      <c r="H1" t="s">
        <v>116</v>
      </c>
      <c r="I1" t="s">
        <v>251</v>
      </c>
      <c r="J1" t="s">
        <v>267</v>
      </c>
      <c r="K1" t="s">
        <v>268</v>
      </c>
      <c r="L1" t="s">
        <v>58</v>
      </c>
      <c r="M1" t="s">
        <v>269</v>
      </c>
      <c r="N1" t="s">
        <v>270</v>
      </c>
      <c r="O1" t="s">
        <v>252</v>
      </c>
      <c r="P1" t="s">
        <v>186</v>
      </c>
      <c r="Q1" t="s">
        <v>271</v>
      </c>
      <c r="R1" t="s">
        <v>272</v>
      </c>
      <c r="S1" t="s">
        <v>117</v>
      </c>
      <c r="T1" t="s">
        <v>118</v>
      </c>
      <c r="U1" t="s">
        <v>273</v>
      </c>
      <c r="V1" t="s">
        <v>274</v>
      </c>
      <c r="W1" t="s">
        <v>275</v>
      </c>
      <c r="X1" t="s">
        <v>276</v>
      </c>
      <c r="Y1" t="s">
        <v>277</v>
      </c>
      <c r="Z1" t="s">
        <v>278</v>
      </c>
      <c r="AA1" t="s">
        <v>279</v>
      </c>
      <c r="AB1" t="s">
        <v>280</v>
      </c>
      <c r="AC1" t="s">
        <v>281</v>
      </c>
    </row>
    <row r="2" spans="1:29" x14ac:dyDescent="0.25">
      <c r="A2" t="s">
        <v>122</v>
      </c>
      <c r="B2" t="s">
        <v>61</v>
      </c>
      <c r="C2" t="s">
        <v>65</v>
      </c>
      <c r="D2" t="s">
        <v>81</v>
      </c>
      <c r="E2" t="s">
        <v>63</v>
      </c>
      <c r="F2">
        <v>110</v>
      </c>
      <c r="G2">
        <v>433.34</v>
      </c>
      <c r="H2">
        <v>47667.6</v>
      </c>
      <c r="I2">
        <v>8.3500000000000005E-2</v>
      </c>
      <c r="J2">
        <v>47667.399999999994</v>
      </c>
      <c r="K2">
        <v>0.20000000000436557</v>
      </c>
      <c r="L2">
        <v>43687.64</v>
      </c>
      <c r="M2">
        <v>43687.3554</v>
      </c>
      <c r="N2">
        <v>0.28459999999904539</v>
      </c>
      <c r="O2">
        <v>5516.06</v>
      </c>
      <c r="P2">
        <v>49203.7</v>
      </c>
      <c r="Q2">
        <v>49203.7</v>
      </c>
      <c r="R2">
        <v>0</v>
      </c>
      <c r="S2">
        <v>524251.71</v>
      </c>
      <c r="T2">
        <v>43687.64</v>
      </c>
      <c r="U2">
        <v>524251.68</v>
      </c>
      <c r="V2">
        <v>3.0000000027939677E-2</v>
      </c>
      <c r="W2" t="b">
        <v>1</v>
      </c>
      <c r="X2" t="b">
        <v>1</v>
      </c>
      <c r="Y2" t="b">
        <v>1</v>
      </c>
      <c r="Z2" t="b">
        <v>1</v>
      </c>
      <c r="AA2" t="b">
        <v>1</v>
      </c>
      <c r="AB2" t="s">
        <v>282</v>
      </c>
      <c r="AC2" t="s">
        <v>283</v>
      </c>
    </row>
    <row r="3" spans="1:29" x14ac:dyDescent="0.25">
      <c r="A3" t="s">
        <v>122</v>
      </c>
      <c r="B3" t="s">
        <v>61</v>
      </c>
      <c r="C3" t="s">
        <v>62</v>
      </c>
      <c r="D3" t="s">
        <v>81</v>
      </c>
      <c r="E3" t="s">
        <v>63</v>
      </c>
      <c r="F3">
        <v>200</v>
      </c>
      <c r="G3">
        <v>238.48</v>
      </c>
      <c r="H3">
        <v>47695.65</v>
      </c>
      <c r="I3">
        <v>7.0000000000000001E-3</v>
      </c>
      <c r="J3">
        <v>47696</v>
      </c>
      <c r="K3">
        <v>0.34999999999854481</v>
      </c>
      <c r="L3">
        <v>47363.72</v>
      </c>
      <c r="M3">
        <v>47361.780400000003</v>
      </c>
      <c r="N3">
        <v>1.9395500000027823</v>
      </c>
      <c r="O3">
        <v>-593.75</v>
      </c>
      <c r="P3">
        <v>46769.97</v>
      </c>
      <c r="Q3">
        <v>46769.97</v>
      </c>
      <c r="R3">
        <v>0</v>
      </c>
      <c r="S3">
        <v>568364.62</v>
      </c>
      <c r="T3">
        <v>47363.72</v>
      </c>
      <c r="U3">
        <v>568364.64</v>
      </c>
      <c r="V3">
        <v>2.0000000018626451E-2</v>
      </c>
      <c r="W3" t="b">
        <v>1</v>
      </c>
      <c r="X3" t="b">
        <v>1</v>
      </c>
      <c r="Y3" t="b">
        <v>1</v>
      </c>
      <c r="Z3" t="b">
        <v>1</v>
      </c>
      <c r="AA3" t="b">
        <v>1</v>
      </c>
      <c r="AB3" t="s">
        <v>282</v>
      </c>
      <c r="AC3" t="s">
        <v>283</v>
      </c>
    </row>
    <row r="4" spans="1:29" x14ac:dyDescent="0.25">
      <c r="A4" t="s">
        <v>122</v>
      </c>
      <c r="B4" t="s">
        <v>61</v>
      </c>
      <c r="C4" t="s">
        <v>68</v>
      </c>
      <c r="D4" t="s">
        <v>75</v>
      </c>
      <c r="E4" t="s">
        <v>69</v>
      </c>
      <c r="F4">
        <v>160</v>
      </c>
      <c r="G4">
        <v>282.74</v>
      </c>
      <c r="H4">
        <v>45238.07</v>
      </c>
      <c r="I4">
        <v>0.16170000000000001</v>
      </c>
      <c r="J4">
        <v>45238.400000000001</v>
      </c>
      <c r="K4">
        <v>0.33000000000174623</v>
      </c>
      <c r="L4">
        <v>37921.360000000001</v>
      </c>
      <c r="M4">
        <v>37923.074099999998</v>
      </c>
      <c r="N4">
        <v>1.7140809999982594</v>
      </c>
      <c r="O4">
        <v>1531.35</v>
      </c>
      <c r="P4">
        <v>39452.71</v>
      </c>
      <c r="Q4">
        <v>39452.71</v>
      </c>
      <c r="R4">
        <v>0</v>
      </c>
      <c r="S4">
        <v>455056.36</v>
      </c>
      <c r="T4">
        <v>37921.360000000001</v>
      </c>
      <c r="U4">
        <v>455056.32</v>
      </c>
      <c r="V4">
        <v>3.9999999979045242E-2</v>
      </c>
      <c r="W4" t="b">
        <v>1</v>
      </c>
      <c r="X4" t="b">
        <v>1</v>
      </c>
      <c r="Y4" t="b">
        <v>1</v>
      </c>
      <c r="Z4" t="b">
        <v>1</v>
      </c>
      <c r="AA4" t="b">
        <v>1</v>
      </c>
      <c r="AB4" t="s">
        <v>282</v>
      </c>
      <c r="AC4" t="s">
        <v>283</v>
      </c>
    </row>
    <row r="5" spans="1:29" x14ac:dyDescent="0.25">
      <c r="A5" t="s">
        <v>122</v>
      </c>
      <c r="B5" t="s">
        <v>67</v>
      </c>
      <c r="C5" t="s">
        <v>65</v>
      </c>
      <c r="D5" t="s">
        <v>78</v>
      </c>
      <c r="E5" t="s">
        <v>63</v>
      </c>
      <c r="F5">
        <v>61</v>
      </c>
      <c r="G5">
        <v>923.33</v>
      </c>
      <c r="H5">
        <v>56323.19</v>
      </c>
      <c r="I5">
        <v>4.7E-2</v>
      </c>
      <c r="J5">
        <v>56323.130000000005</v>
      </c>
      <c r="K5">
        <v>5.9999999997671694E-2</v>
      </c>
      <c r="L5">
        <v>53673.78</v>
      </c>
      <c r="M5">
        <v>53676.000099999997</v>
      </c>
      <c r="N5">
        <v>2.2200700000030338</v>
      </c>
      <c r="O5">
        <v>7746.1</v>
      </c>
      <c r="P5">
        <v>61419.88</v>
      </c>
      <c r="Q5">
        <v>61419.88</v>
      </c>
      <c r="R5">
        <v>0</v>
      </c>
      <c r="S5">
        <v>644085.31999999995</v>
      </c>
      <c r="T5">
        <v>53673.78</v>
      </c>
      <c r="U5">
        <v>644085.36</v>
      </c>
      <c r="V5">
        <v>4.0000000037252903E-2</v>
      </c>
      <c r="W5" t="b">
        <v>1</v>
      </c>
      <c r="X5" t="b">
        <v>1</v>
      </c>
      <c r="Y5" t="b">
        <v>1</v>
      </c>
      <c r="Z5" t="b">
        <v>1</v>
      </c>
      <c r="AA5" t="b">
        <v>1</v>
      </c>
      <c r="AB5" t="s">
        <v>282</v>
      </c>
      <c r="AC5" t="s">
        <v>283</v>
      </c>
    </row>
    <row r="6" spans="1:29" x14ac:dyDescent="0.25">
      <c r="A6" t="s">
        <v>122</v>
      </c>
      <c r="B6" t="s">
        <v>67</v>
      </c>
      <c r="C6" t="s">
        <v>62</v>
      </c>
      <c r="D6" t="s">
        <v>81</v>
      </c>
      <c r="E6" t="s">
        <v>63</v>
      </c>
      <c r="F6">
        <v>256</v>
      </c>
      <c r="G6">
        <v>760.23</v>
      </c>
      <c r="H6">
        <v>194618.79</v>
      </c>
      <c r="I6">
        <v>0.18870000000000001</v>
      </c>
      <c r="J6">
        <v>194618.88</v>
      </c>
      <c r="K6">
        <v>8.999999999650754E-2</v>
      </c>
      <c r="L6">
        <v>157895.81</v>
      </c>
      <c r="M6">
        <v>157894.2243</v>
      </c>
      <c r="N6">
        <v>1.5856729999941308</v>
      </c>
      <c r="O6">
        <v>6840.98</v>
      </c>
      <c r="P6">
        <v>164736.79</v>
      </c>
      <c r="Q6">
        <v>164736.79</v>
      </c>
      <c r="R6">
        <v>0</v>
      </c>
      <c r="S6">
        <v>1894749.78</v>
      </c>
      <c r="T6">
        <v>157895.81</v>
      </c>
      <c r="U6">
        <v>1894749.72</v>
      </c>
      <c r="V6">
        <v>6.0000000055879354E-2</v>
      </c>
      <c r="W6" t="b">
        <v>1</v>
      </c>
      <c r="X6" t="b">
        <v>1</v>
      </c>
      <c r="Y6" t="b">
        <v>1</v>
      </c>
      <c r="Z6" t="b">
        <v>1</v>
      </c>
      <c r="AA6" t="b">
        <v>1</v>
      </c>
      <c r="AB6" t="s">
        <v>282</v>
      </c>
      <c r="AC6" t="s">
        <v>283</v>
      </c>
    </row>
    <row r="7" spans="1:29" x14ac:dyDescent="0.25">
      <c r="A7" t="s">
        <v>122</v>
      </c>
      <c r="B7" t="s">
        <v>67</v>
      </c>
      <c r="C7" t="s">
        <v>68</v>
      </c>
      <c r="D7" t="s">
        <v>78</v>
      </c>
      <c r="E7" t="s">
        <v>66</v>
      </c>
      <c r="F7">
        <v>227</v>
      </c>
      <c r="G7">
        <v>350.25</v>
      </c>
      <c r="H7">
        <v>79506.759999999995</v>
      </c>
      <c r="I7">
        <v>6.54E-2</v>
      </c>
      <c r="J7">
        <v>79506.75</v>
      </c>
      <c r="K7">
        <v>9.9999999947613105E-3</v>
      </c>
      <c r="L7">
        <v>74305.119999999995</v>
      </c>
      <c r="M7">
        <v>74307.017900000006</v>
      </c>
      <c r="N7">
        <v>1.8978959999949438</v>
      </c>
      <c r="O7">
        <v>1140.43</v>
      </c>
      <c r="P7">
        <v>75445.56</v>
      </c>
      <c r="Q7">
        <v>75445.55</v>
      </c>
      <c r="R7">
        <v>1.0000000009313226E-2</v>
      </c>
      <c r="S7">
        <v>891661.48</v>
      </c>
      <c r="T7">
        <v>74305.119999999995</v>
      </c>
      <c r="U7">
        <v>891661.44</v>
      </c>
      <c r="V7">
        <v>4.0000000037252903E-2</v>
      </c>
      <c r="W7" t="b">
        <v>1</v>
      </c>
      <c r="X7" t="b">
        <v>1</v>
      </c>
      <c r="Y7" t="b">
        <v>1</v>
      </c>
      <c r="Z7" t="b">
        <v>1</v>
      </c>
      <c r="AA7" t="b">
        <v>1</v>
      </c>
      <c r="AB7" t="s">
        <v>282</v>
      </c>
      <c r="AC7" t="s">
        <v>283</v>
      </c>
    </row>
    <row r="8" spans="1:29" x14ac:dyDescent="0.25">
      <c r="A8" t="s">
        <v>122</v>
      </c>
      <c r="B8" t="s">
        <v>64</v>
      </c>
      <c r="C8" t="s">
        <v>65</v>
      </c>
      <c r="D8" t="s">
        <v>75</v>
      </c>
      <c r="E8" t="s">
        <v>66</v>
      </c>
      <c r="F8">
        <v>195</v>
      </c>
      <c r="G8">
        <v>583.64</v>
      </c>
      <c r="H8">
        <v>113809.71</v>
      </c>
      <c r="I8">
        <v>0.24349999999999999</v>
      </c>
      <c r="J8">
        <v>113809.8</v>
      </c>
      <c r="K8">
        <v>8.999999999650754E-2</v>
      </c>
      <c r="L8">
        <v>86092.9</v>
      </c>
      <c r="M8">
        <v>86097.045599999998</v>
      </c>
      <c r="N8">
        <v>4.1456150000158232</v>
      </c>
      <c r="O8">
        <v>-3596.69</v>
      </c>
      <c r="P8">
        <v>82496.2</v>
      </c>
      <c r="Q8">
        <v>82496.210000000006</v>
      </c>
      <c r="R8">
        <v>9.9999999947613105E-3</v>
      </c>
      <c r="S8">
        <v>1033114.75</v>
      </c>
      <c r="T8">
        <v>86092.9</v>
      </c>
      <c r="U8">
        <v>1033114.8</v>
      </c>
      <c r="V8">
        <v>4.9999999930150807E-2</v>
      </c>
      <c r="W8" t="b">
        <v>1</v>
      </c>
      <c r="X8" t="b">
        <v>1</v>
      </c>
      <c r="Y8" t="b">
        <v>1</v>
      </c>
      <c r="Z8" t="b">
        <v>1</v>
      </c>
      <c r="AA8" t="b">
        <v>1</v>
      </c>
      <c r="AB8" t="s">
        <v>282</v>
      </c>
      <c r="AC8" t="s">
        <v>283</v>
      </c>
    </row>
    <row r="9" spans="1:29" x14ac:dyDescent="0.25">
      <c r="A9" t="s">
        <v>122</v>
      </c>
      <c r="B9" t="s">
        <v>64</v>
      </c>
      <c r="C9" t="s">
        <v>62</v>
      </c>
      <c r="D9" t="s">
        <v>81</v>
      </c>
      <c r="E9" t="s">
        <v>69</v>
      </c>
      <c r="F9">
        <v>103</v>
      </c>
      <c r="G9">
        <v>914.43</v>
      </c>
      <c r="H9">
        <v>94186.23</v>
      </c>
      <c r="I9">
        <v>7.0499999999999993E-2</v>
      </c>
      <c r="J9">
        <v>94186.29</v>
      </c>
      <c r="K9">
        <v>5.9999999997671694E-2</v>
      </c>
      <c r="L9">
        <v>87548.64</v>
      </c>
      <c r="M9">
        <v>87546.1008</v>
      </c>
      <c r="N9">
        <v>2.539214999997057</v>
      </c>
      <c r="O9">
        <v>-371.14</v>
      </c>
      <c r="P9">
        <v>87177.5</v>
      </c>
      <c r="Q9">
        <v>87177.5</v>
      </c>
      <c r="R9">
        <v>0</v>
      </c>
      <c r="S9">
        <v>1050583.7</v>
      </c>
      <c r="T9">
        <v>87548.64</v>
      </c>
      <c r="U9">
        <v>1050583.68</v>
      </c>
      <c r="V9">
        <v>2.0000000018626451E-2</v>
      </c>
      <c r="W9" t="b">
        <v>1</v>
      </c>
      <c r="X9" t="b">
        <v>1</v>
      </c>
      <c r="Y9" t="b">
        <v>1</v>
      </c>
      <c r="Z9" t="b">
        <v>1</v>
      </c>
      <c r="AA9" t="b">
        <v>1</v>
      </c>
      <c r="AB9" t="s">
        <v>282</v>
      </c>
      <c r="AC9" t="s">
        <v>283</v>
      </c>
    </row>
    <row r="10" spans="1:29" x14ac:dyDescent="0.25">
      <c r="A10" t="s">
        <v>122</v>
      </c>
      <c r="B10" t="s">
        <v>64</v>
      </c>
      <c r="C10" t="s">
        <v>68</v>
      </c>
      <c r="D10" t="s">
        <v>81</v>
      </c>
      <c r="E10" t="s">
        <v>69</v>
      </c>
      <c r="F10">
        <v>79</v>
      </c>
      <c r="G10">
        <v>1021.87</v>
      </c>
      <c r="H10">
        <v>80727.83</v>
      </c>
      <c r="I10">
        <v>0.20080000000000001</v>
      </c>
      <c r="J10">
        <v>80727.73</v>
      </c>
      <c r="K10">
        <v>0.10000000000582077</v>
      </c>
      <c r="L10">
        <v>64514.49</v>
      </c>
      <c r="M10">
        <v>64517.681700000001</v>
      </c>
      <c r="N10">
        <v>3.1917360000006738</v>
      </c>
      <c r="O10">
        <v>-3223.82</v>
      </c>
      <c r="P10">
        <v>61290.67</v>
      </c>
      <c r="Q10">
        <v>61290.67</v>
      </c>
      <c r="R10">
        <v>0</v>
      </c>
      <c r="S10">
        <v>774173.92</v>
      </c>
      <c r="T10">
        <v>64514.49</v>
      </c>
      <c r="U10">
        <v>774173.88</v>
      </c>
      <c r="V10">
        <v>4.0000000037252903E-2</v>
      </c>
      <c r="W10" t="b">
        <v>1</v>
      </c>
      <c r="X10" t="b">
        <v>1</v>
      </c>
      <c r="Y10" t="b">
        <v>1</v>
      </c>
      <c r="Z10" t="b">
        <v>1</v>
      </c>
      <c r="AA10" t="b">
        <v>1</v>
      </c>
      <c r="AB10" t="s">
        <v>282</v>
      </c>
      <c r="AC10" t="s">
        <v>283</v>
      </c>
    </row>
    <row r="11" spans="1:29" x14ac:dyDescent="0.25">
      <c r="A11" t="s">
        <v>123</v>
      </c>
      <c r="B11" t="s">
        <v>64</v>
      </c>
      <c r="C11" t="s">
        <v>68</v>
      </c>
      <c r="D11" t="s">
        <v>75</v>
      </c>
      <c r="E11" t="s">
        <v>66</v>
      </c>
      <c r="F11">
        <v>135</v>
      </c>
      <c r="G11">
        <v>506.56</v>
      </c>
      <c r="H11">
        <v>68386.179999999993</v>
      </c>
      <c r="I11">
        <v>4.4299999999999999E-2</v>
      </c>
      <c r="J11">
        <v>68385.600000000006</v>
      </c>
      <c r="K11">
        <v>0.57999999998719431</v>
      </c>
      <c r="L11">
        <v>65359.54</v>
      </c>
      <c r="M11">
        <v>65356.672200000001</v>
      </c>
      <c r="N11">
        <v>2.8677740000057383</v>
      </c>
      <c r="O11">
        <v>1985.35</v>
      </c>
      <c r="P11">
        <v>67344.88</v>
      </c>
      <c r="Q11">
        <v>67344.89</v>
      </c>
      <c r="R11">
        <v>9.9999999947613105E-3</v>
      </c>
      <c r="S11">
        <v>784314.43</v>
      </c>
      <c r="T11">
        <v>65359.54</v>
      </c>
      <c r="U11">
        <v>784314.48</v>
      </c>
      <c r="V11">
        <v>4.9999999930150807E-2</v>
      </c>
      <c r="W11" t="b">
        <v>1</v>
      </c>
      <c r="X11" t="b">
        <v>1</v>
      </c>
      <c r="Y11" t="b">
        <v>1</v>
      </c>
      <c r="Z11" t="b">
        <v>1</v>
      </c>
      <c r="AA11" t="b">
        <v>1</v>
      </c>
      <c r="AB11" t="s">
        <v>282</v>
      </c>
      <c r="AC11" t="s">
        <v>283</v>
      </c>
    </row>
    <row r="12" spans="1:29" x14ac:dyDescent="0.25">
      <c r="A12" t="s">
        <v>123</v>
      </c>
      <c r="B12" t="s">
        <v>64</v>
      </c>
      <c r="C12" t="s">
        <v>62</v>
      </c>
      <c r="D12" t="s">
        <v>78</v>
      </c>
      <c r="E12" t="s">
        <v>63</v>
      </c>
      <c r="F12">
        <v>157</v>
      </c>
      <c r="G12">
        <v>453.46</v>
      </c>
      <c r="H12">
        <v>71193.73</v>
      </c>
      <c r="I12">
        <v>0.1497</v>
      </c>
      <c r="J12">
        <v>71193.22</v>
      </c>
      <c r="K12">
        <v>0.50999999999476131</v>
      </c>
      <c r="L12">
        <v>60532.639999999999</v>
      </c>
      <c r="M12">
        <v>60536.028599999998</v>
      </c>
      <c r="N12">
        <v>3.3886189999975613</v>
      </c>
      <c r="O12">
        <v>-5209</v>
      </c>
      <c r="P12">
        <v>55323.63</v>
      </c>
      <c r="Q12">
        <v>55323.64</v>
      </c>
      <c r="R12">
        <v>1.0000000002037268E-2</v>
      </c>
      <c r="S12">
        <v>726391.65</v>
      </c>
      <c r="T12">
        <v>60532.639999999999</v>
      </c>
      <c r="U12">
        <v>726391.68</v>
      </c>
      <c r="V12">
        <v>2.9999999911524355E-2</v>
      </c>
      <c r="W12" t="b">
        <v>1</v>
      </c>
      <c r="X12" t="b">
        <v>1</v>
      </c>
      <c r="Y12" t="b">
        <v>1</v>
      </c>
      <c r="Z12" t="b">
        <v>1</v>
      </c>
      <c r="AA12" t="b">
        <v>1</v>
      </c>
      <c r="AB12" t="s">
        <v>282</v>
      </c>
      <c r="AC12" t="s">
        <v>283</v>
      </c>
    </row>
    <row r="13" spans="1:29" x14ac:dyDescent="0.25">
      <c r="A13" t="s">
        <v>123</v>
      </c>
      <c r="B13" t="s">
        <v>64</v>
      </c>
      <c r="C13" t="s">
        <v>65</v>
      </c>
      <c r="D13" t="s">
        <v>75</v>
      </c>
      <c r="E13" t="s">
        <v>63</v>
      </c>
      <c r="F13">
        <v>115</v>
      </c>
      <c r="G13">
        <v>381.04</v>
      </c>
      <c r="H13">
        <v>43819.72</v>
      </c>
      <c r="I13">
        <v>0.2487</v>
      </c>
      <c r="J13">
        <v>43819.600000000006</v>
      </c>
      <c r="K13">
        <v>0.11999999999534339</v>
      </c>
      <c r="L13">
        <v>32922.36</v>
      </c>
      <c r="M13">
        <v>32921.755599999997</v>
      </c>
      <c r="N13">
        <v>0.60436399999889545</v>
      </c>
      <c r="O13">
        <v>4530.83</v>
      </c>
      <c r="P13">
        <v>37453.19</v>
      </c>
      <c r="Q13">
        <v>37453.19</v>
      </c>
      <c r="R13">
        <v>0</v>
      </c>
      <c r="S13">
        <v>395068.32</v>
      </c>
      <c r="T13">
        <v>32922.36</v>
      </c>
      <c r="U13">
        <v>395068.32</v>
      </c>
      <c r="V13">
        <v>0</v>
      </c>
      <c r="W13" t="b">
        <v>1</v>
      </c>
      <c r="X13" t="b">
        <v>1</v>
      </c>
      <c r="Y13" t="b">
        <v>1</v>
      </c>
      <c r="Z13" t="b">
        <v>1</v>
      </c>
      <c r="AA13" t="b">
        <v>1</v>
      </c>
      <c r="AB13" t="s">
        <v>282</v>
      </c>
      <c r="AC13" t="s">
        <v>283</v>
      </c>
    </row>
    <row r="14" spans="1:29" x14ac:dyDescent="0.25">
      <c r="A14" t="s">
        <v>123</v>
      </c>
      <c r="B14" t="s">
        <v>67</v>
      </c>
      <c r="C14" t="s">
        <v>68</v>
      </c>
      <c r="D14" t="s">
        <v>78</v>
      </c>
      <c r="E14" t="s">
        <v>66</v>
      </c>
      <c r="F14">
        <v>69</v>
      </c>
      <c r="G14">
        <v>366.29</v>
      </c>
      <c r="H14">
        <v>25273.86</v>
      </c>
      <c r="I14">
        <v>1.32E-2</v>
      </c>
      <c r="J14">
        <v>25274.010000000002</v>
      </c>
      <c r="K14">
        <v>0.15000000000145519</v>
      </c>
      <c r="L14">
        <v>24940.21</v>
      </c>
      <c r="M14">
        <v>24940.244999999999</v>
      </c>
      <c r="N14">
        <v>3.5048000001552282E-2</v>
      </c>
      <c r="O14">
        <v>831.79</v>
      </c>
      <c r="P14">
        <v>25772.01</v>
      </c>
      <c r="Q14">
        <v>25772</v>
      </c>
      <c r="R14">
        <v>9.9999999983992893E-3</v>
      </c>
      <c r="S14">
        <v>299282.56</v>
      </c>
      <c r="T14">
        <v>24940.21</v>
      </c>
      <c r="U14">
        <v>299282.52</v>
      </c>
      <c r="V14">
        <v>3.9999999979045242E-2</v>
      </c>
      <c r="W14" t="b">
        <v>1</v>
      </c>
      <c r="X14" t="b">
        <v>1</v>
      </c>
      <c r="Y14" t="b">
        <v>1</v>
      </c>
      <c r="Z14" t="b">
        <v>1</v>
      </c>
      <c r="AA14" t="b">
        <v>1</v>
      </c>
      <c r="AB14" t="s">
        <v>282</v>
      </c>
      <c r="AC14" t="s">
        <v>283</v>
      </c>
    </row>
    <row r="15" spans="1:29" x14ac:dyDescent="0.25">
      <c r="A15" t="s">
        <v>123</v>
      </c>
      <c r="B15" t="s">
        <v>61</v>
      </c>
      <c r="C15" t="s">
        <v>62</v>
      </c>
      <c r="D15" t="s">
        <v>78</v>
      </c>
      <c r="E15" t="s">
        <v>66</v>
      </c>
      <c r="F15">
        <v>111</v>
      </c>
      <c r="G15">
        <v>870.76</v>
      </c>
      <c r="H15">
        <v>96653.86</v>
      </c>
      <c r="I15">
        <v>8.4000000000000005E-2</v>
      </c>
      <c r="J15">
        <v>96654.36</v>
      </c>
      <c r="K15">
        <v>0.5</v>
      </c>
      <c r="L15">
        <v>88532.45</v>
      </c>
      <c r="M15">
        <v>88534.935800000007</v>
      </c>
      <c r="N15">
        <v>2.4857599999959348</v>
      </c>
      <c r="O15">
        <v>-564.47</v>
      </c>
      <c r="P15">
        <v>87967.98</v>
      </c>
      <c r="Q15">
        <v>87967.98</v>
      </c>
      <c r="R15">
        <v>0</v>
      </c>
      <c r="S15">
        <v>1062389.3899999999</v>
      </c>
      <c r="T15">
        <v>88532.45</v>
      </c>
      <c r="U15">
        <v>1062389.3999999999</v>
      </c>
      <c r="V15">
        <v>1.0000000009313226E-2</v>
      </c>
      <c r="W15" t="b">
        <v>1</v>
      </c>
      <c r="X15" t="b">
        <v>1</v>
      </c>
      <c r="Y15" t="b">
        <v>1</v>
      </c>
      <c r="Z15" t="b">
        <v>1</v>
      </c>
      <c r="AA15" t="b">
        <v>1</v>
      </c>
      <c r="AB15" t="s">
        <v>282</v>
      </c>
      <c r="AC15" t="s">
        <v>283</v>
      </c>
    </row>
    <row r="16" spans="1:29" x14ac:dyDescent="0.25">
      <c r="A16" t="s">
        <v>123</v>
      </c>
      <c r="B16" t="s">
        <v>67</v>
      </c>
      <c r="C16" t="s">
        <v>65</v>
      </c>
      <c r="D16" t="s">
        <v>78</v>
      </c>
      <c r="E16" t="s">
        <v>69</v>
      </c>
      <c r="F16">
        <v>112</v>
      </c>
      <c r="G16">
        <v>508.35</v>
      </c>
      <c r="H16">
        <v>56935.69</v>
      </c>
      <c r="I16">
        <v>7.46E-2</v>
      </c>
      <c r="J16">
        <v>56935.200000000004</v>
      </c>
      <c r="K16">
        <v>0.48999999999796273</v>
      </c>
      <c r="L16">
        <v>52686.75</v>
      </c>
      <c r="M16">
        <v>52688.287499999999</v>
      </c>
      <c r="N16">
        <v>1.5375260000000708</v>
      </c>
      <c r="O16">
        <v>3815.15</v>
      </c>
      <c r="P16">
        <v>56501.9</v>
      </c>
      <c r="Q16">
        <v>56501.9</v>
      </c>
      <c r="R16">
        <v>0</v>
      </c>
      <c r="S16">
        <v>632241.05000000005</v>
      </c>
      <c r="T16">
        <v>52686.75</v>
      </c>
      <c r="U16">
        <v>632241</v>
      </c>
      <c r="V16">
        <v>5.0000000046566129E-2</v>
      </c>
      <c r="W16" t="b">
        <v>1</v>
      </c>
      <c r="X16" t="b">
        <v>1</v>
      </c>
      <c r="Y16" t="b">
        <v>1</v>
      </c>
      <c r="Z16" t="b">
        <v>1</v>
      </c>
      <c r="AA16" t="b">
        <v>1</v>
      </c>
      <c r="AB16" t="s">
        <v>282</v>
      </c>
      <c r="AC16" t="s">
        <v>283</v>
      </c>
    </row>
    <row r="17" spans="1:29" x14ac:dyDescent="0.25">
      <c r="A17" t="s">
        <v>123</v>
      </c>
      <c r="B17" t="s">
        <v>61</v>
      </c>
      <c r="C17" t="s">
        <v>68</v>
      </c>
      <c r="D17" t="s">
        <v>78</v>
      </c>
      <c r="E17" t="s">
        <v>66</v>
      </c>
      <c r="F17">
        <v>144</v>
      </c>
      <c r="G17">
        <v>691.5</v>
      </c>
      <c r="H17">
        <v>99576.53</v>
      </c>
      <c r="I17">
        <v>0.1356</v>
      </c>
      <c r="J17">
        <v>99576</v>
      </c>
      <c r="K17">
        <v>0.52999999999883585</v>
      </c>
      <c r="L17">
        <v>86076.3</v>
      </c>
      <c r="M17">
        <v>86073.952499999999</v>
      </c>
      <c r="N17">
        <v>2.3474680000072112</v>
      </c>
      <c r="O17">
        <v>-7274.36</v>
      </c>
      <c r="P17">
        <v>78801.95</v>
      </c>
      <c r="Q17">
        <v>78801.94</v>
      </c>
      <c r="R17">
        <v>9.9999999947613105E-3</v>
      </c>
      <c r="S17">
        <v>1032915.66</v>
      </c>
      <c r="T17">
        <v>86076.3</v>
      </c>
      <c r="U17">
        <v>1032915.6</v>
      </c>
      <c r="V17">
        <v>5.9999999939464033E-2</v>
      </c>
      <c r="W17" t="b">
        <v>1</v>
      </c>
      <c r="X17" t="b">
        <v>1</v>
      </c>
      <c r="Y17" t="b">
        <v>1</v>
      </c>
      <c r="Z17" t="b">
        <v>1</v>
      </c>
      <c r="AA17" t="b">
        <v>1</v>
      </c>
      <c r="AB17" t="s">
        <v>282</v>
      </c>
      <c r="AC17" t="s">
        <v>283</v>
      </c>
    </row>
    <row r="18" spans="1:29" x14ac:dyDescent="0.25">
      <c r="A18" t="s">
        <v>123</v>
      </c>
      <c r="B18" t="s">
        <v>61</v>
      </c>
      <c r="C18" t="s">
        <v>65</v>
      </c>
      <c r="D18" t="s">
        <v>78</v>
      </c>
      <c r="E18" t="s">
        <v>63</v>
      </c>
      <c r="F18">
        <v>202</v>
      </c>
      <c r="G18">
        <v>583.94000000000005</v>
      </c>
      <c r="H18">
        <v>117955.8</v>
      </c>
      <c r="I18">
        <v>3.3E-3</v>
      </c>
      <c r="J18">
        <v>117955.88</v>
      </c>
      <c r="K18">
        <v>8.000000000174623E-2</v>
      </c>
      <c r="L18">
        <v>117567.93</v>
      </c>
      <c r="M18">
        <v>117566.5459</v>
      </c>
      <c r="N18">
        <v>1.3841399999946589</v>
      </c>
      <c r="O18">
        <v>3022.56</v>
      </c>
      <c r="P18">
        <v>120590.49</v>
      </c>
      <c r="Q18">
        <v>120590.49</v>
      </c>
      <c r="R18">
        <v>1.4551915228366852E-11</v>
      </c>
      <c r="S18">
        <v>1410815.21</v>
      </c>
      <c r="T18">
        <v>117567.93</v>
      </c>
      <c r="U18">
        <v>1410815.16</v>
      </c>
      <c r="V18">
        <v>5.0000000046566129E-2</v>
      </c>
      <c r="W18" t="b">
        <v>1</v>
      </c>
      <c r="X18" t="b">
        <v>1</v>
      </c>
      <c r="Y18" t="b">
        <v>1</v>
      </c>
      <c r="Z18" t="b">
        <v>1</v>
      </c>
      <c r="AA18" t="b">
        <v>1</v>
      </c>
      <c r="AB18" t="s">
        <v>282</v>
      </c>
      <c r="AC18" t="s">
        <v>283</v>
      </c>
    </row>
    <row r="19" spans="1:29" x14ac:dyDescent="0.25">
      <c r="A19" t="s">
        <v>123</v>
      </c>
      <c r="B19" t="s">
        <v>67</v>
      </c>
      <c r="C19" t="s">
        <v>62</v>
      </c>
      <c r="D19" t="s">
        <v>78</v>
      </c>
      <c r="E19" t="s">
        <v>66</v>
      </c>
      <c r="F19">
        <v>80</v>
      </c>
      <c r="G19">
        <v>777.45</v>
      </c>
      <c r="H19">
        <v>62195.66</v>
      </c>
      <c r="I19">
        <v>0.12280000000000001</v>
      </c>
      <c r="J19">
        <v>62196</v>
      </c>
      <c r="K19">
        <v>0.33999999999650754</v>
      </c>
      <c r="L19">
        <v>54559.42</v>
      </c>
      <c r="M19">
        <v>54558.033000000003</v>
      </c>
      <c r="N19">
        <v>1.3870479999968666</v>
      </c>
      <c r="O19">
        <v>1548.61</v>
      </c>
      <c r="P19">
        <v>56108.02</v>
      </c>
      <c r="Q19">
        <v>56108.03</v>
      </c>
      <c r="R19">
        <v>1.0000000002037268E-2</v>
      </c>
      <c r="S19">
        <v>654712.98</v>
      </c>
      <c r="T19">
        <v>54559.42</v>
      </c>
      <c r="U19">
        <v>654713.04</v>
      </c>
      <c r="V19">
        <v>6.0000000055879354E-2</v>
      </c>
      <c r="W19" t="b">
        <v>1</v>
      </c>
      <c r="X19" t="b">
        <v>1</v>
      </c>
      <c r="Y19" t="b">
        <v>1</v>
      </c>
      <c r="Z19" t="b">
        <v>1</v>
      </c>
      <c r="AA19" t="b">
        <v>1</v>
      </c>
      <c r="AB19" t="s">
        <v>282</v>
      </c>
      <c r="AC19" t="s">
        <v>283</v>
      </c>
    </row>
    <row r="20" spans="1:29" x14ac:dyDescent="0.25">
      <c r="A20" t="s">
        <v>124</v>
      </c>
      <c r="B20" t="s">
        <v>67</v>
      </c>
      <c r="C20" t="s">
        <v>68</v>
      </c>
      <c r="D20" t="s">
        <v>75</v>
      </c>
      <c r="E20" t="s">
        <v>66</v>
      </c>
      <c r="F20">
        <v>156</v>
      </c>
      <c r="G20">
        <v>1062.8499999999999</v>
      </c>
      <c r="H20">
        <v>165804.04999999999</v>
      </c>
      <c r="I20">
        <v>8.48E-2</v>
      </c>
      <c r="J20">
        <v>165804.59999999998</v>
      </c>
      <c r="K20">
        <v>0.54999999998835847</v>
      </c>
      <c r="L20">
        <v>151749.07</v>
      </c>
      <c r="M20">
        <v>151743.86660000001</v>
      </c>
      <c r="N20">
        <v>5.2034400000120513</v>
      </c>
      <c r="O20">
        <v>9623.8799999999992</v>
      </c>
      <c r="P20">
        <v>161372.95000000001</v>
      </c>
      <c r="Q20">
        <v>161372.95000000001</v>
      </c>
      <c r="R20">
        <v>0</v>
      </c>
      <c r="S20">
        <v>1820988.8</v>
      </c>
      <c r="T20">
        <v>151749.07</v>
      </c>
      <c r="U20">
        <v>1820988.84</v>
      </c>
      <c r="V20">
        <v>4.0000000037252903E-2</v>
      </c>
      <c r="W20" t="b">
        <v>1</v>
      </c>
      <c r="X20" t="b">
        <v>1</v>
      </c>
      <c r="Y20" t="b">
        <v>1</v>
      </c>
      <c r="Z20" t="b">
        <v>1</v>
      </c>
      <c r="AA20" t="b">
        <v>1</v>
      </c>
      <c r="AB20" t="s">
        <v>282</v>
      </c>
      <c r="AC20" t="s">
        <v>283</v>
      </c>
    </row>
    <row r="21" spans="1:29" x14ac:dyDescent="0.25">
      <c r="A21" t="s">
        <v>124</v>
      </c>
      <c r="B21" t="s">
        <v>64</v>
      </c>
      <c r="C21" t="s">
        <v>68</v>
      </c>
      <c r="D21" t="s">
        <v>81</v>
      </c>
      <c r="E21" t="s">
        <v>66</v>
      </c>
      <c r="F21">
        <v>172</v>
      </c>
      <c r="G21">
        <v>409.97</v>
      </c>
      <c r="H21">
        <v>70515.210000000006</v>
      </c>
      <c r="I21">
        <v>9.3799999999999994E-2</v>
      </c>
      <c r="J21">
        <v>70514.840000000011</v>
      </c>
      <c r="K21">
        <v>0.36999999999534339</v>
      </c>
      <c r="L21">
        <v>63903.040000000001</v>
      </c>
      <c r="M21">
        <v>63900.883300000001</v>
      </c>
      <c r="N21">
        <v>2.156697999991593</v>
      </c>
      <c r="O21">
        <v>3825.12</v>
      </c>
      <c r="P21">
        <v>67728.160000000003</v>
      </c>
      <c r="Q21">
        <v>67728.160000000003</v>
      </c>
      <c r="R21">
        <v>0</v>
      </c>
      <c r="S21">
        <v>766836.52</v>
      </c>
      <c r="T21">
        <v>63903.040000000001</v>
      </c>
      <c r="U21">
        <v>766836.48</v>
      </c>
      <c r="V21">
        <v>4.0000000037252903E-2</v>
      </c>
      <c r="W21" t="b">
        <v>1</v>
      </c>
      <c r="X21" t="b">
        <v>1</v>
      </c>
      <c r="Y21" t="b">
        <v>1</v>
      </c>
      <c r="Z21" t="b">
        <v>1</v>
      </c>
      <c r="AA21" t="b">
        <v>1</v>
      </c>
      <c r="AB21" t="s">
        <v>282</v>
      </c>
      <c r="AC21" t="s">
        <v>283</v>
      </c>
    </row>
    <row r="22" spans="1:29" x14ac:dyDescent="0.25">
      <c r="A22" t="s">
        <v>124</v>
      </c>
      <c r="B22" t="s">
        <v>64</v>
      </c>
      <c r="C22" t="s">
        <v>62</v>
      </c>
      <c r="D22" t="s">
        <v>75</v>
      </c>
      <c r="E22" t="s">
        <v>69</v>
      </c>
      <c r="F22">
        <v>178</v>
      </c>
      <c r="G22">
        <v>513.45000000000005</v>
      </c>
      <c r="H22">
        <v>91393.55</v>
      </c>
      <c r="I22">
        <v>4.5400000000000003E-2</v>
      </c>
      <c r="J22">
        <v>91394.1</v>
      </c>
      <c r="K22">
        <v>0.55000000000291038</v>
      </c>
      <c r="L22">
        <v>87247.05</v>
      </c>
      <c r="M22">
        <v>87244.282800000001</v>
      </c>
      <c r="N22">
        <v>2.7671700000064448</v>
      </c>
      <c r="O22">
        <v>2758.13</v>
      </c>
      <c r="P22">
        <v>90005.18</v>
      </c>
      <c r="Q22">
        <v>90005.18</v>
      </c>
      <c r="R22">
        <v>1.4551915228366852E-11</v>
      </c>
      <c r="S22">
        <v>1046964.54</v>
      </c>
      <c r="T22">
        <v>87247.05</v>
      </c>
      <c r="U22">
        <v>1046964.6</v>
      </c>
      <c r="V22">
        <v>6.0000000055879354E-2</v>
      </c>
      <c r="W22" t="b">
        <v>1</v>
      </c>
      <c r="X22" t="b">
        <v>1</v>
      </c>
      <c r="Y22" t="b">
        <v>1</v>
      </c>
      <c r="Z22" t="b">
        <v>1</v>
      </c>
      <c r="AA22" t="b">
        <v>1</v>
      </c>
      <c r="AB22" t="s">
        <v>282</v>
      </c>
      <c r="AC22" t="s">
        <v>283</v>
      </c>
    </row>
    <row r="23" spans="1:29" x14ac:dyDescent="0.25">
      <c r="A23" t="s">
        <v>124</v>
      </c>
      <c r="B23" t="s">
        <v>67</v>
      </c>
      <c r="C23" t="s">
        <v>62</v>
      </c>
      <c r="D23" t="s">
        <v>81</v>
      </c>
      <c r="E23" t="s">
        <v>66</v>
      </c>
      <c r="F23">
        <v>191</v>
      </c>
      <c r="G23">
        <v>1030.7</v>
      </c>
      <c r="H23">
        <v>196863.15</v>
      </c>
      <c r="I23">
        <v>8.0000000000000002E-3</v>
      </c>
      <c r="J23">
        <v>196863.7</v>
      </c>
      <c r="K23">
        <v>0.5500000000174623</v>
      </c>
      <c r="L23">
        <v>195283.36</v>
      </c>
      <c r="M23">
        <v>195288.24479999999</v>
      </c>
      <c r="N23">
        <v>4.8847999999998137</v>
      </c>
      <c r="O23">
        <v>-2758.3</v>
      </c>
      <c r="P23">
        <v>192525.05</v>
      </c>
      <c r="Q23">
        <v>192525.06</v>
      </c>
      <c r="R23">
        <v>1.0000000009313226E-2</v>
      </c>
      <c r="S23">
        <v>2343400.2999999998</v>
      </c>
      <c r="T23">
        <v>195283.36</v>
      </c>
      <c r="U23">
        <v>2343400.3199999998</v>
      </c>
      <c r="V23">
        <v>2.0000000018626451E-2</v>
      </c>
      <c r="W23" t="b">
        <v>1</v>
      </c>
      <c r="X23" t="b">
        <v>1</v>
      </c>
      <c r="Y23" t="b">
        <v>1</v>
      </c>
      <c r="Z23" t="b">
        <v>1</v>
      </c>
      <c r="AA23" t="b">
        <v>1</v>
      </c>
      <c r="AB23" t="s">
        <v>282</v>
      </c>
      <c r="AC23" t="s">
        <v>283</v>
      </c>
    </row>
    <row r="24" spans="1:29" x14ac:dyDescent="0.25">
      <c r="A24" t="s">
        <v>124</v>
      </c>
      <c r="B24" t="s">
        <v>64</v>
      </c>
      <c r="C24" t="s">
        <v>65</v>
      </c>
      <c r="D24" t="s">
        <v>78</v>
      </c>
      <c r="E24" t="s">
        <v>63</v>
      </c>
      <c r="F24">
        <v>141</v>
      </c>
      <c r="G24">
        <v>978.33</v>
      </c>
      <c r="H24">
        <v>137944.6</v>
      </c>
      <c r="I24">
        <v>2.2100000000000002E-2</v>
      </c>
      <c r="J24">
        <v>137944.53</v>
      </c>
      <c r="K24">
        <v>7.0000000006984919E-2</v>
      </c>
      <c r="L24">
        <v>134898.07</v>
      </c>
      <c r="M24">
        <v>134896.02429999999</v>
      </c>
      <c r="N24">
        <v>2.0456600000034086</v>
      </c>
      <c r="O24">
        <v>16852.849999999999</v>
      </c>
      <c r="P24">
        <v>151750.92000000001</v>
      </c>
      <c r="Q24">
        <v>151750.92000000001</v>
      </c>
      <c r="R24">
        <v>0</v>
      </c>
      <c r="S24">
        <v>1618776.83</v>
      </c>
      <c r="T24">
        <v>134898.07</v>
      </c>
      <c r="U24">
        <v>1618776.84</v>
      </c>
      <c r="V24">
        <v>1.0000000009313226E-2</v>
      </c>
      <c r="W24" t="b">
        <v>1</v>
      </c>
      <c r="X24" t="b">
        <v>1</v>
      </c>
      <c r="Y24" t="b">
        <v>1</v>
      </c>
      <c r="Z24" t="b">
        <v>1</v>
      </c>
      <c r="AA24" t="b">
        <v>1</v>
      </c>
      <c r="AB24" t="s">
        <v>282</v>
      </c>
      <c r="AC24" t="s">
        <v>283</v>
      </c>
    </row>
    <row r="25" spans="1:29" x14ac:dyDescent="0.25">
      <c r="A25" t="s">
        <v>124</v>
      </c>
      <c r="B25" t="s">
        <v>61</v>
      </c>
      <c r="C25" t="s">
        <v>68</v>
      </c>
      <c r="D25" t="s">
        <v>75</v>
      </c>
      <c r="E25" t="s">
        <v>66</v>
      </c>
      <c r="F25">
        <v>104</v>
      </c>
      <c r="G25">
        <v>442.96</v>
      </c>
      <c r="H25">
        <v>46068.3</v>
      </c>
      <c r="I25">
        <v>8.1500000000000003E-2</v>
      </c>
      <c r="J25">
        <v>46067.839999999997</v>
      </c>
      <c r="K25">
        <v>0.46000000000640284</v>
      </c>
      <c r="L25">
        <v>42315.39</v>
      </c>
      <c r="M25">
        <v>42313.7336</v>
      </c>
      <c r="N25">
        <v>1.6564499999949476</v>
      </c>
      <c r="O25">
        <v>-2147.61</v>
      </c>
      <c r="P25">
        <v>40167.78</v>
      </c>
      <c r="Q25">
        <v>40167.78</v>
      </c>
      <c r="R25">
        <v>0</v>
      </c>
      <c r="S25">
        <v>507784.69</v>
      </c>
      <c r="T25">
        <v>42315.39</v>
      </c>
      <c r="U25">
        <v>507784.68</v>
      </c>
      <c r="V25">
        <v>1.0000000009313226E-2</v>
      </c>
      <c r="W25" t="b">
        <v>1</v>
      </c>
      <c r="X25" t="b">
        <v>1</v>
      </c>
      <c r="Y25" t="b">
        <v>1</v>
      </c>
      <c r="Z25" t="b">
        <v>1</v>
      </c>
      <c r="AA25" t="b">
        <v>1</v>
      </c>
      <c r="AB25" t="s">
        <v>282</v>
      </c>
      <c r="AC25" t="s">
        <v>283</v>
      </c>
    </row>
    <row r="26" spans="1:29" x14ac:dyDescent="0.25">
      <c r="A26" t="s">
        <v>124</v>
      </c>
      <c r="B26" t="s">
        <v>67</v>
      </c>
      <c r="C26" t="s">
        <v>65</v>
      </c>
      <c r="D26" t="s">
        <v>78</v>
      </c>
      <c r="E26" t="s">
        <v>69</v>
      </c>
      <c r="F26">
        <v>130</v>
      </c>
      <c r="G26">
        <v>748.97</v>
      </c>
      <c r="H26">
        <v>97366.51</v>
      </c>
      <c r="I26">
        <v>0.17710000000000001</v>
      </c>
      <c r="J26">
        <v>97366.1</v>
      </c>
      <c r="K26">
        <v>0.40999999998894054</v>
      </c>
      <c r="L26">
        <v>80122.42</v>
      </c>
      <c r="M26">
        <v>80122.901100000003</v>
      </c>
      <c r="N26">
        <v>0.48107900000468362</v>
      </c>
      <c r="O26">
        <v>8044.93</v>
      </c>
      <c r="P26">
        <v>88167.35</v>
      </c>
      <c r="Q26">
        <v>88167.35</v>
      </c>
      <c r="R26">
        <v>0</v>
      </c>
      <c r="S26">
        <v>961469.01</v>
      </c>
      <c r="T26">
        <v>80122.42</v>
      </c>
      <c r="U26">
        <v>961469.04</v>
      </c>
      <c r="V26">
        <v>3.0000000027939677E-2</v>
      </c>
      <c r="W26" t="b">
        <v>1</v>
      </c>
      <c r="X26" t="b">
        <v>1</v>
      </c>
      <c r="Y26" t="b">
        <v>1</v>
      </c>
      <c r="Z26" t="b">
        <v>1</v>
      </c>
      <c r="AA26" t="b">
        <v>1</v>
      </c>
      <c r="AB26" t="s">
        <v>282</v>
      </c>
      <c r="AC26" t="s">
        <v>283</v>
      </c>
    </row>
    <row r="27" spans="1:29" x14ac:dyDescent="0.25">
      <c r="A27" t="s">
        <v>124</v>
      </c>
      <c r="B27" t="s">
        <v>61</v>
      </c>
      <c r="C27" t="s">
        <v>62</v>
      </c>
      <c r="D27" t="s">
        <v>81</v>
      </c>
      <c r="E27" t="s">
        <v>63</v>
      </c>
      <c r="F27">
        <v>141</v>
      </c>
      <c r="G27">
        <v>1016.41</v>
      </c>
      <c r="H27">
        <v>143314.18</v>
      </c>
      <c r="I27">
        <v>0.1991</v>
      </c>
      <c r="J27">
        <v>143313.81</v>
      </c>
      <c r="K27">
        <v>0.36999999999534339</v>
      </c>
      <c r="L27">
        <v>114778.81</v>
      </c>
      <c r="M27">
        <v>114780.3268</v>
      </c>
      <c r="N27">
        <v>1.5167619999992894</v>
      </c>
      <c r="O27">
        <v>15715.48</v>
      </c>
      <c r="P27">
        <v>130494.29</v>
      </c>
      <c r="Q27">
        <v>130494.29</v>
      </c>
      <c r="R27">
        <v>0</v>
      </c>
      <c r="S27">
        <v>1377345.74</v>
      </c>
      <c r="T27">
        <v>114778.81</v>
      </c>
      <c r="U27">
        <v>1377345.72</v>
      </c>
      <c r="V27">
        <v>2.0000000018626451E-2</v>
      </c>
      <c r="W27" t="b">
        <v>1</v>
      </c>
      <c r="X27" t="b">
        <v>1</v>
      </c>
      <c r="Y27" t="b">
        <v>1</v>
      </c>
      <c r="Z27" t="b">
        <v>1</v>
      </c>
      <c r="AA27" t="b">
        <v>1</v>
      </c>
      <c r="AB27" t="s">
        <v>282</v>
      </c>
      <c r="AC27" t="s">
        <v>283</v>
      </c>
    </row>
    <row r="28" spans="1:29" x14ac:dyDescent="0.25">
      <c r="A28" t="s">
        <v>124</v>
      </c>
      <c r="B28" t="s">
        <v>61</v>
      </c>
      <c r="C28" t="s">
        <v>65</v>
      </c>
      <c r="D28" t="s">
        <v>75</v>
      </c>
      <c r="E28" t="s">
        <v>66</v>
      </c>
      <c r="F28">
        <v>218</v>
      </c>
      <c r="G28">
        <v>928.5</v>
      </c>
      <c r="H28">
        <v>202412.56</v>
      </c>
      <c r="I28">
        <v>6.3700000000000007E-2</v>
      </c>
      <c r="J28">
        <v>202413</v>
      </c>
      <c r="K28">
        <v>0.44000000000232831</v>
      </c>
      <c r="L28">
        <v>189510.76</v>
      </c>
      <c r="M28">
        <v>189518.8799</v>
      </c>
      <c r="N28">
        <v>8.1199280000000726</v>
      </c>
      <c r="O28">
        <v>-10080.540000000001</v>
      </c>
      <c r="P28">
        <v>179430.22</v>
      </c>
      <c r="Q28">
        <v>179430.22</v>
      </c>
      <c r="R28">
        <v>0</v>
      </c>
      <c r="S28">
        <v>2274129.12</v>
      </c>
      <c r="T28">
        <v>189510.76</v>
      </c>
      <c r="U28">
        <v>2274129.12</v>
      </c>
      <c r="V28">
        <v>0</v>
      </c>
      <c r="W28" t="b">
        <v>1</v>
      </c>
      <c r="X28" t="b">
        <v>1</v>
      </c>
      <c r="Y28" t="b">
        <v>1</v>
      </c>
      <c r="Z28" t="b">
        <v>1</v>
      </c>
      <c r="AA28" t="b">
        <v>1</v>
      </c>
      <c r="AB28" t="s">
        <v>282</v>
      </c>
      <c r="AC28" t="s">
        <v>283</v>
      </c>
    </row>
    <row r="29" spans="1:29" x14ac:dyDescent="0.25">
      <c r="A29" t="s">
        <v>125</v>
      </c>
      <c r="B29" t="s">
        <v>64</v>
      </c>
      <c r="C29" t="s">
        <v>62</v>
      </c>
      <c r="D29" t="s">
        <v>78</v>
      </c>
      <c r="E29" t="s">
        <v>69</v>
      </c>
      <c r="F29">
        <v>287</v>
      </c>
      <c r="G29">
        <v>1017.02</v>
      </c>
      <c r="H29">
        <v>291884.78000000003</v>
      </c>
      <c r="I29">
        <v>0.1048</v>
      </c>
      <c r="J29">
        <v>291884.74</v>
      </c>
      <c r="K29">
        <v>4.0000000037252903E-2</v>
      </c>
      <c r="L29">
        <v>261293.99</v>
      </c>
      <c r="M29">
        <v>261295.25510000001</v>
      </c>
      <c r="N29">
        <v>1.2650560000329278</v>
      </c>
      <c r="O29">
        <v>22428.18</v>
      </c>
      <c r="P29">
        <v>283722.17</v>
      </c>
      <c r="Q29">
        <v>283722.17</v>
      </c>
      <c r="R29">
        <v>0</v>
      </c>
      <c r="S29">
        <v>3135527.94</v>
      </c>
      <c r="T29">
        <v>261293.99</v>
      </c>
      <c r="U29">
        <v>3135527.88</v>
      </c>
      <c r="V29">
        <v>6.0000000055879354E-2</v>
      </c>
      <c r="W29" t="b">
        <v>1</v>
      </c>
      <c r="X29" t="b">
        <v>1</v>
      </c>
      <c r="Y29" t="b">
        <v>1</v>
      </c>
      <c r="Z29" t="b">
        <v>1</v>
      </c>
      <c r="AA29" t="b">
        <v>1</v>
      </c>
      <c r="AB29" t="s">
        <v>282</v>
      </c>
      <c r="AC29" t="s">
        <v>283</v>
      </c>
    </row>
    <row r="30" spans="1:29" x14ac:dyDescent="0.25">
      <c r="A30" t="s">
        <v>125</v>
      </c>
      <c r="B30" t="s">
        <v>64</v>
      </c>
      <c r="C30" t="s">
        <v>65</v>
      </c>
      <c r="D30" t="s">
        <v>81</v>
      </c>
      <c r="E30" t="s">
        <v>63</v>
      </c>
      <c r="F30">
        <v>295</v>
      </c>
      <c r="G30">
        <v>451.1</v>
      </c>
      <c r="H30">
        <v>133074.63</v>
      </c>
      <c r="I30">
        <v>0.2424</v>
      </c>
      <c r="J30">
        <v>133074.5</v>
      </c>
      <c r="K30">
        <v>0.13000000000465661</v>
      </c>
      <c r="L30">
        <v>100815.91</v>
      </c>
      <c r="M30">
        <v>100817.3397</v>
      </c>
      <c r="N30">
        <v>1.4296880000038072</v>
      </c>
      <c r="O30">
        <v>-4231.6899999999996</v>
      </c>
      <c r="P30">
        <v>96584.22</v>
      </c>
      <c r="Q30">
        <v>96584.22</v>
      </c>
      <c r="R30">
        <v>0</v>
      </c>
      <c r="S30">
        <v>1209790.95</v>
      </c>
      <c r="T30">
        <v>100815.91</v>
      </c>
      <c r="U30">
        <v>1209790.92</v>
      </c>
      <c r="V30">
        <v>3.0000000027939677E-2</v>
      </c>
      <c r="W30" t="b">
        <v>1</v>
      </c>
      <c r="X30" t="b">
        <v>1</v>
      </c>
      <c r="Y30" t="b">
        <v>1</v>
      </c>
      <c r="Z30" t="b">
        <v>1</v>
      </c>
      <c r="AA30" t="b">
        <v>1</v>
      </c>
      <c r="AB30" t="s">
        <v>282</v>
      </c>
      <c r="AC30" t="s">
        <v>283</v>
      </c>
    </row>
    <row r="31" spans="1:29" x14ac:dyDescent="0.25">
      <c r="A31" t="s">
        <v>125</v>
      </c>
      <c r="B31" t="s">
        <v>67</v>
      </c>
      <c r="C31" t="s">
        <v>68</v>
      </c>
      <c r="D31" t="s">
        <v>81</v>
      </c>
      <c r="E31" t="s">
        <v>69</v>
      </c>
      <c r="F31">
        <v>252</v>
      </c>
      <c r="G31">
        <v>244.76</v>
      </c>
      <c r="H31">
        <v>61680.59</v>
      </c>
      <c r="I31">
        <v>0.12889999999999999</v>
      </c>
      <c r="J31">
        <v>61679.519999999997</v>
      </c>
      <c r="K31">
        <v>1.069999999999709</v>
      </c>
      <c r="L31">
        <v>53728.11</v>
      </c>
      <c r="M31">
        <v>53729.961900000002</v>
      </c>
      <c r="N31">
        <v>1.8519489999962389</v>
      </c>
      <c r="O31">
        <v>-980.71</v>
      </c>
      <c r="P31">
        <v>52747.4</v>
      </c>
      <c r="Q31">
        <v>52747.4</v>
      </c>
      <c r="R31">
        <v>0</v>
      </c>
      <c r="S31">
        <v>644737.36</v>
      </c>
      <c r="T31">
        <v>53728.11</v>
      </c>
      <c r="U31">
        <v>644737.31999999995</v>
      </c>
      <c r="V31">
        <v>3.9999999920837581E-2</v>
      </c>
      <c r="W31" t="b">
        <v>1</v>
      </c>
      <c r="X31" t="b">
        <v>1</v>
      </c>
      <c r="Y31" t="b">
        <v>1</v>
      </c>
      <c r="Z31" t="b">
        <v>1</v>
      </c>
      <c r="AA31" t="b">
        <v>1</v>
      </c>
      <c r="AB31" t="s">
        <v>282</v>
      </c>
      <c r="AC31" t="s">
        <v>283</v>
      </c>
    </row>
    <row r="32" spans="1:29" x14ac:dyDescent="0.25">
      <c r="A32" t="s">
        <v>125</v>
      </c>
      <c r="B32" t="s">
        <v>67</v>
      </c>
      <c r="C32" t="s">
        <v>62</v>
      </c>
      <c r="D32" t="s">
        <v>81</v>
      </c>
      <c r="E32" t="s">
        <v>63</v>
      </c>
      <c r="F32">
        <v>216</v>
      </c>
      <c r="G32">
        <v>1164.8599999999999</v>
      </c>
      <c r="H32">
        <v>251608.77</v>
      </c>
      <c r="I32">
        <v>0.1076</v>
      </c>
      <c r="J32">
        <v>251609.75999999998</v>
      </c>
      <c r="K32">
        <v>0.98999999999068677</v>
      </c>
      <c r="L32">
        <v>224536.66</v>
      </c>
      <c r="M32">
        <v>224535.66630000001</v>
      </c>
      <c r="N32">
        <v>0.99365200000465848</v>
      </c>
      <c r="O32">
        <v>25960.31</v>
      </c>
      <c r="P32">
        <v>250496.97</v>
      </c>
      <c r="Q32">
        <v>250496.97</v>
      </c>
      <c r="R32">
        <v>0</v>
      </c>
      <c r="S32">
        <v>2694439.87</v>
      </c>
      <c r="T32">
        <v>224536.66</v>
      </c>
      <c r="U32">
        <v>2694439.92</v>
      </c>
      <c r="V32">
        <v>4.9999999813735485E-2</v>
      </c>
      <c r="W32" t="b">
        <v>1</v>
      </c>
      <c r="X32" t="b">
        <v>1</v>
      </c>
      <c r="Y32" t="b">
        <v>1</v>
      </c>
      <c r="Z32" t="b">
        <v>1</v>
      </c>
      <c r="AA32" t="b">
        <v>1</v>
      </c>
      <c r="AB32" t="s">
        <v>282</v>
      </c>
      <c r="AC32" t="s">
        <v>283</v>
      </c>
    </row>
    <row r="33" spans="1:29" x14ac:dyDescent="0.25">
      <c r="A33" t="s">
        <v>125</v>
      </c>
      <c r="B33" t="s">
        <v>64</v>
      </c>
      <c r="C33" t="s">
        <v>68</v>
      </c>
      <c r="D33" t="s">
        <v>75</v>
      </c>
      <c r="E33" t="s">
        <v>66</v>
      </c>
      <c r="F33">
        <v>109</v>
      </c>
      <c r="G33">
        <v>1059.18</v>
      </c>
      <c r="H33">
        <v>115450.9</v>
      </c>
      <c r="I33">
        <v>0.104</v>
      </c>
      <c r="J33">
        <v>115450.62000000001</v>
      </c>
      <c r="K33">
        <v>0.27999999998428393</v>
      </c>
      <c r="L33">
        <v>103447.97</v>
      </c>
      <c r="M33">
        <v>103444.0064</v>
      </c>
      <c r="N33">
        <v>3.9636000000027707</v>
      </c>
      <c r="O33">
        <v>1433.77</v>
      </c>
      <c r="P33">
        <v>104881.73</v>
      </c>
      <c r="Q33">
        <v>104881.74</v>
      </c>
      <c r="R33">
        <v>1.0000000009313226E-2</v>
      </c>
      <c r="S33">
        <v>1241375.5900000001</v>
      </c>
      <c r="T33">
        <v>103447.97</v>
      </c>
      <c r="U33">
        <v>1241375.6399999999</v>
      </c>
      <c r="V33">
        <v>5.0000000046566129E-2</v>
      </c>
      <c r="W33" t="b">
        <v>1</v>
      </c>
      <c r="X33" t="b">
        <v>1</v>
      </c>
      <c r="Y33" t="b">
        <v>1</v>
      </c>
      <c r="Z33" t="b">
        <v>1</v>
      </c>
      <c r="AA33" t="b">
        <v>1</v>
      </c>
      <c r="AB33" t="s">
        <v>282</v>
      </c>
      <c r="AC33" t="s">
        <v>283</v>
      </c>
    </row>
    <row r="34" spans="1:29" x14ac:dyDescent="0.25">
      <c r="A34" t="s">
        <v>125</v>
      </c>
      <c r="B34" t="s">
        <v>61</v>
      </c>
      <c r="C34" t="s">
        <v>68</v>
      </c>
      <c r="D34" t="s">
        <v>81</v>
      </c>
      <c r="E34" t="s">
        <v>63</v>
      </c>
      <c r="F34">
        <v>106</v>
      </c>
      <c r="G34">
        <v>964.99</v>
      </c>
      <c r="H34">
        <v>102288.59</v>
      </c>
      <c r="I34">
        <v>0.20150000000000001</v>
      </c>
      <c r="J34">
        <v>102288.94</v>
      </c>
      <c r="K34">
        <v>0.35000000000582077</v>
      </c>
      <c r="L34">
        <v>81673.570000000007</v>
      </c>
      <c r="M34">
        <v>81677.439100000003</v>
      </c>
      <c r="N34">
        <v>3.8691149999940535</v>
      </c>
      <c r="O34">
        <v>1978.74</v>
      </c>
      <c r="P34">
        <v>83652.31</v>
      </c>
      <c r="Q34">
        <v>83652.31</v>
      </c>
      <c r="R34">
        <v>1.4551915228366852E-11</v>
      </c>
      <c r="S34">
        <v>980082.83</v>
      </c>
      <c r="T34">
        <v>81673.570000000007</v>
      </c>
      <c r="U34">
        <v>980082.84</v>
      </c>
      <c r="V34">
        <v>1.0000000125728548E-2</v>
      </c>
      <c r="W34" t="b">
        <v>1</v>
      </c>
      <c r="X34" t="b">
        <v>1</v>
      </c>
      <c r="Y34" t="b">
        <v>1</v>
      </c>
      <c r="Z34" t="b">
        <v>1</v>
      </c>
      <c r="AA34" t="b">
        <v>1</v>
      </c>
      <c r="AB34" t="s">
        <v>282</v>
      </c>
      <c r="AC34" t="s">
        <v>283</v>
      </c>
    </row>
    <row r="35" spans="1:29" x14ac:dyDescent="0.25">
      <c r="A35" t="s">
        <v>125</v>
      </c>
      <c r="B35" t="s">
        <v>61</v>
      </c>
      <c r="C35" t="s">
        <v>62</v>
      </c>
      <c r="D35" t="s">
        <v>75</v>
      </c>
      <c r="E35" t="s">
        <v>66</v>
      </c>
      <c r="F35">
        <v>61</v>
      </c>
      <c r="G35">
        <v>417.08</v>
      </c>
      <c r="H35">
        <v>25441.72</v>
      </c>
      <c r="I35">
        <v>3.7000000000000002E-3</v>
      </c>
      <c r="J35">
        <v>25441.879999999997</v>
      </c>
      <c r="K35">
        <v>0.1599999999962165</v>
      </c>
      <c r="L35">
        <v>25347.61</v>
      </c>
      <c r="M35">
        <v>25347.585599999999</v>
      </c>
      <c r="N35">
        <v>2.43640000007872E-2</v>
      </c>
      <c r="O35">
        <v>-2511.2399999999998</v>
      </c>
      <c r="P35">
        <v>22836.37</v>
      </c>
      <c r="Q35">
        <v>22836.37</v>
      </c>
      <c r="R35">
        <v>3.637978807091713E-12</v>
      </c>
      <c r="S35">
        <v>304171.36</v>
      </c>
      <c r="T35">
        <v>25347.61</v>
      </c>
      <c r="U35">
        <v>304171.32</v>
      </c>
      <c r="V35">
        <v>3.9999999979045242E-2</v>
      </c>
      <c r="W35" t="b">
        <v>1</v>
      </c>
      <c r="X35" t="b">
        <v>1</v>
      </c>
      <c r="Y35" t="b">
        <v>1</v>
      </c>
      <c r="Z35" t="b">
        <v>1</v>
      </c>
      <c r="AA35" t="b">
        <v>1</v>
      </c>
      <c r="AB35" t="s">
        <v>282</v>
      </c>
      <c r="AC35" t="s">
        <v>283</v>
      </c>
    </row>
    <row r="36" spans="1:29" x14ac:dyDescent="0.25">
      <c r="A36" t="s">
        <v>125</v>
      </c>
      <c r="B36" t="s">
        <v>61</v>
      </c>
      <c r="C36" t="s">
        <v>65</v>
      </c>
      <c r="D36" t="s">
        <v>78</v>
      </c>
      <c r="E36" t="s">
        <v>63</v>
      </c>
      <c r="F36">
        <v>125</v>
      </c>
      <c r="G36">
        <v>662.66</v>
      </c>
      <c r="H36">
        <v>82833.100000000006</v>
      </c>
      <c r="I36">
        <v>0.2392</v>
      </c>
      <c r="J36">
        <v>82832.5</v>
      </c>
      <c r="K36">
        <v>0.60000000000582077</v>
      </c>
      <c r="L36">
        <v>63020.44</v>
      </c>
      <c r="M36">
        <v>63019.422500000001</v>
      </c>
      <c r="N36">
        <v>1.017519999993965</v>
      </c>
      <c r="O36">
        <v>-5786.36</v>
      </c>
      <c r="P36">
        <v>57234.07</v>
      </c>
      <c r="Q36">
        <v>57234.080000000002</v>
      </c>
      <c r="R36">
        <v>1.0000000002037268E-2</v>
      </c>
      <c r="S36">
        <v>756245.27</v>
      </c>
      <c r="T36">
        <v>63020.44</v>
      </c>
      <c r="U36">
        <v>756245.28</v>
      </c>
      <c r="V36">
        <v>1.0000000009313226E-2</v>
      </c>
      <c r="W36" t="b">
        <v>1</v>
      </c>
      <c r="X36" t="b">
        <v>1</v>
      </c>
      <c r="Y36" t="b">
        <v>1</v>
      </c>
      <c r="Z36" t="b">
        <v>1</v>
      </c>
      <c r="AA36" t="b">
        <v>1</v>
      </c>
      <c r="AB36" t="s">
        <v>282</v>
      </c>
      <c r="AC36" t="s">
        <v>283</v>
      </c>
    </row>
    <row r="37" spans="1:29" x14ac:dyDescent="0.25">
      <c r="A37" t="s">
        <v>125</v>
      </c>
      <c r="B37" t="s">
        <v>67</v>
      </c>
      <c r="C37" t="s">
        <v>65</v>
      </c>
      <c r="D37" t="s">
        <v>75</v>
      </c>
      <c r="E37" t="s">
        <v>63</v>
      </c>
      <c r="F37">
        <v>120</v>
      </c>
      <c r="G37">
        <v>591</v>
      </c>
      <c r="H37">
        <v>70919.649999999994</v>
      </c>
      <c r="I37">
        <v>0.1636</v>
      </c>
      <c r="J37">
        <v>70920</v>
      </c>
      <c r="K37">
        <v>0.35000000000582077</v>
      </c>
      <c r="L37">
        <v>59316.01</v>
      </c>
      <c r="M37">
        <v>59317.195299999999</v>
      </c>
      <c r="N37">
        <v>1.1852599999911035</v>
      </c>
      <c r="O37">
        <v>5431.63</v>
      </c>
      <c r="P37">
        <v>64747.65</v>
      </c>
      <c r="Q37">
        <v>64747.64</v>
      </c>
      <c r="R37">
        <v>1.0000000002037268E-2</v>
      </c>
      <c r="S37">
        <v>711792.17</v>
      </c>
      <c r="T37">
        <v>59316.01</v>
      </c>
      <c r="U37">
        <v>711792.12</v>
      </c>
      <c r="V37">
        <v>5.0000000046566129E-2</v>
      </c>
      <c r="W37" t="b">
        <v>1</v>
      </c>
      <c r="X37" t="b">
        <v>1</v>
      </c>
      <c r="Y37" t="b">
        <v>1</v>
      </c>
      <c r="Z37" t="b">
        <v>1</v>
      </c>
      <c r="AA37" t="b">
        <v>1</v>
      </c>
      <c r="AB37" t="s">
        <v>282</v>
      </c>
      <c r="AC37" t="s">
        <v>283</v>
      </c>
    </row>
    <row r="38" spans="1:29" x14ac:dyDescent="0.25">
      <c r="A38" t="s">
        <v>126</v>
      </c>
      <c r="B38" t="s">
        <v>64</v>
      </c>
      <c r="C38" t="s">
        <v>68</v>
      </c>
      <c r="D38" t="s">
        <v>75</v>
      </c>
      <c r="E38" t="s">
        <v>66</v>
      </c>
      <c r="F38">
        <v>252</v>
      </c>
      <c r="G38">
        <v>252.08</v>
      </c>
      <c r="H38">
        <v>63523.92</v>
      </c>
      <c r="I38">
        <v>4.8899999999999999E-2</v>
      </c>
      <c r="J38">
        <v>63524.160000000003</v>
      </c>
      <c r="K38">
        <v>0.24000000000523869</v>
      </c>
      <c r="L38">
        <v>60418.51</v>
      </c>
      <c r="M38">
        <v>60417.600299999998</v>
      </c>
      <c r="N38">
        <v>0.90968800000700867</v>
      </c>
      <c r="O38">
        <v>-1666.13</v>
      </c>
      <c r="P38">
        <v>58752.38</v>
      </c>
      <c r="Q38">
        <v>58752.38</v>
      </c>
      <c r="R38">
        <v>7.2759576141834259E-12</v>
      </c>
      <c r="S38">
        <v>725022.07</v>
      </c>
      <c r="T38">
        <v>60418.51</v>
      </c>
      <c r="U38">
        <v>725022.12</v>
      </c>
      <c r="V38">
        <v>5.0000000046566129E-2</v>
      </c>
      <c r="W38" t="b">
        <v>1</v>
      </c>
      <c r="X38" t="b">
        <v>1</v>
      </c>
      <c r="Y38" t="b">
        <v>1</v>
      </c>
      <c r="Z38" t="b">
        <v>1</v>
      </c>
      <c r="AA38" t="b">
        <v>1</v>
      </c>
      <c r="AB38" t="s">
        <v>282</v>
      </c>
      <c r="AC38" t="s">
        <v>283</v>
      </c>
    </row>
    <row r="39" spans="1:29" x14ac:dyDescent="0.25">
      <c r="A39" t="s">
        <v>126</v>
      </c>
      <c r="B39" t="s">
        <v>64</v>
      </c>
      <c r="C39" t="s">
        <v>62</v>
      </c>
      <c r="D39" t="s">
        <v>78</v>
      </c>
      <c r="E39" t="s">
        <v>69</v>
      </c>
      <c r="F39">
        <v>112</v>
      </c>
      <c r="G39">
        <v>441.77</v>
      </c>
      <c r="H39">
        <v>49478.45</v>
      </c>
      <c r="I39">
        <v>1.72E-2</v>
      </c>
      <c r="J39">
        <v>49478.239999999998</v>
      </c>
      <c r="K39">
        <v>0.20999999999912689</v>
      </c>
      <c r="L39">
        <v>48626.46</v>
      </c>
      <c r="M39">
        <v>48627.420700000002</v>
      </c>
      <c r="N39">
        <v>0.9606599999970058</v>
      </c>
      <c r="O39">
        <v>-2851.52</v>
      </c>
      <c r="P39">
        <v>45774.93</v>
      </c>
      <c r="Q39">
        <v>45774.94</v>
      </c>
      <c r="R39">
        <v>1.0000000002037268E-2</v>
      </c>
      <c r="S39">
        <v>583517.49</v>
      </c>
      <c r="T39">
        <v>48626.46</v>
      </c>
      <c r="U39">
        <v>583517.52</v>
      </c>
      <c r="V39">
        <v>3.0000000027939677E-2</v>
      </c>
      <c r="W39" t="b">
        <v>1</v>
      </c>
      <c r="X39" t="b">
        <v>1</v>
      </c>
      <c r="Y39" t="b">
        <v>1</v>
      </c>
      <c r="Z39" t="b">
        <v>1</v>
      </c>
      <c r="AA39" t="b">
        <v>1</v>
      </c>
      <c r="AB39" t="s">
        <v>282</v>
      </c>
      <c r="AC39" t="s">
        <v>283</v>
      </c>
    </row>
    <row r="40" spans="1:29" x14ac:dyDescent="0.25">
      <c r="A40" t="s">
        <v>126</v>
      </c>
      <c r="B40" t="s">
        <v>64</v>
      </c>
      <c r="C40" t="s">
        <v>65</v>
      </c>
      <c r="D40" t="s">
        <v>75</v>
      </c>
      <c r="E40" t="s">
        <v>66</v>
      </c>
      <c r="F40">
        <v>139</v>
      </c>
      <c r="G40">
        <v>1122.26</v>
      </c>
      <c r="H40">
        <v>155994.67000000001</v>
      </c>
      <c r="I40">
        <v>0.15670000000000001</v>
      </c>
      <c r="J40">
        <v>155994.13999999998</v>
      </c>
      <c r="K40">
        <v>0.53000000002793968</v>
      </c>
      <c r="L40">
        <v>131554.63</v>
      </c>
      <c r="M40">
        <v>131550.3052</v>
      </c>
      <c r="N40">
        <v>4.3247890000056941</v>
      </c>
      <c r="O40">
        <v>19276.009999999998</v>
      </c>
      <c r="P40">
        <v>150830.64000000001</v>
      </c>
      <c r="Q40">
        <v>150830.64000000001</v>
      </c>
      <c r="R40">
        <v>0</v>
      </c>
      <c r="S40">
        <v>1578655.6</v>
      </c>
      <c r="T40">
        <v>131554.63</v>
      </c>
      <c r="U40">
        <v>1578655.56</v>
      </c>
      <c r="V40">
        <v>4.0000000037252903E-2</v>
      </c>
      <c r="W40" t="b">
        <v>1</v>
      </c>
      <c r="X40" t="b">
        <v>1</v>
      </c>
      <c r="Y40" t="b">
        <v>1</v>
      </c>
      <c r="Z40" t="b">
        <v>1</v>
      </c>
      <c r="AA40" t="b">
        <v>1</v>
      </c>
      <c r="AB40" t="s">
        <v>282</v>
      </c>
      <c r="AC40" t="s">
        <v>283</v>
      </c>
    </row>
    <row r="41" spans="1:29" x14ac:dyDescent="0.25">
      <c r="A41" t="s">
        <v>126</v>
      </c>
      <c r="B41" t="s">
        <v>67</v>
      </c>
      <c r="C41" t="s">
        <v>68</v>
      </c>
      <c r="D41" t="s">
        <v>75</v>
      </c>
      <c r="E41" t="s">
        <v>69</v>
      </c>
      <c r="F41">
        <v>272</v>
      </c>
      <c r="G41">
        <v>639.66</v>
      </c>
      <c r="H41">
        <v>173987.33</v>
      </c>
      <c r="I41">
        <v>4.1399999999999999E-2</v>
      </c>
      <c r="J41">
        <v>173987.52</v>
      </c>
      <c r="K41">
        <v>0.19000000000232831</v>
      </c>
      <c r="L41">
        <v>166790.26999999999</v>
      </c>
      <c r="M41">
        <v>166784.25450000001</v>
      </c>
      <c r="N41">
        <v>6.0154620000103023</v>
      </c>
      <c r="O41">
        <v>938.58</v>
      </c>
      <c r="P41">
        <v>167728.85999999999</v>
      </c>
      <c r="Q41">
        <v>167728.85</v>
      </c>
      <c r="R41">
        <v>1.0000000009313226E-2</v>
      </c>
      <c r="S41">
        <v>2001483.24</v>
      </c>
      <c r="T41">
        <v>166790.26999999999</v>
      </c>
      <c r="U41">
        <v>2001483.24</v>
      </c>
      <c r="V41">
        <v>2.3283064365386963E-10</v>
      </c>
      <c r="W41" t="b">
        <v>1</v>
      </c>
      <c r="X41" t="b">
        <v>1</v>
      </c>
      <c r="Y41" t="b">
        <v>1</v>
      </c>
      <c r="Z41" t="b">
        <v>1</v>
      </c>
      <c r="AA41" t="b">
        <v>1</v>
      </c>
      <c r="AB41" t="s">
        <v>282</v>
      </c>
      <c r="AC41" t="s">
        <v>283</v>
      </c>
    </row>
    <row r="42" spans="1:29" x14ac:dyDescent="0.25">
      <c r="A42" t="s">
        <v>126</v>
      </c>
      <c r="B42" t="s">
        <v>67</v>
      </c>
      <c r="C42" t="s">
        <v>62</v>
      </c>
      <c r="D42" t="s">
        <v>75</v>
      </c>
      <c r="E42" t="s">
        <v>66</v>
      </c>
      <c r="F42">
        <v>141</v>
      </c>
      <c r="G42">
        <v>232.42</v>
      </c>
      <c r="H42">
        <v>32771.379999999997</v>
      </c>
      <c r="I42">
        <v>3.7199999999999997E-2</v>
      </c>
      <c r="J42">
        <v>32771.22</v>
      </c>
      <c r="K42">
        <v>0.1599999999962165</v>
      </c>
      <c r="L42">
        <v>31551.22</v>
      </c>
      <c r="M42">
        <v>31552.2847</v>
      </c>
      <c r="N42">
        <v>1.0646639999977197</v>
      </c>
      <c r="O42">
        <v>-2388.08</v>
      </c>
      <c r="P42">
        <v>29163.14</v>
      </c>
      <c r="Q42">
        <v>29163.14</v>
      </c>
      <c r="R42">
        <v>0</v>
      </c>
      <c r="S42">
        <v>378614.59</v>
      </c>
      <c r="T42">
        <v>31551.22</v>
      </c>
      <c r="U42">
        <v>378614.64</v>
      </c>
      <c r="V42">
        <v>4.9999999988358468E-2</v>
      </c>
      <c r="W42" t="b">
        <v>1</v>
      </c>
      <c r="X42" t="b">
        <v>1</v>
      </c>
      <c r="Y42" t="b">
        <v>1</v>
      </c>
      <c r="Z42" t="b">
        <v>1</v>
      </c>
      <c r="AA42" t="b">
        <v>1</v>
      </c>
      <c r="AB42" t="s">
        <v>282</v>
      </c>
      <c r="AC42" t="s">
        <v>283</v>
      </c>
    </row>
    <row r="43" spans="1:29" x14ac:dyDescent="0.25">
      <c r="A43" t="s">
        <v>126</v>
      </c>
      <c r="B43" t="s">
        <v>61</v>
      </c>
      <c r="C43" t="s">
        <v>68</v>
      </c>
      <c r="D43" t="s">
        <v>75</v>
      </c>
      <c r="E43" t="s">
        <v>63</v>
      </c>
      <c r="F43">
        <v>282</v>
      </c>
      <c r="G43">
        <v>892.37</v>
      </c>
      <c r="H43">
        <v>251649.63</v>
      </c>
      <c r="I43">
        <v>0.14729999999999999</v>
      </c>
      <c r="J43">
        <v>251648.34</v>
      </c>
      <c r="K43">
        <v>1.2900000000081491</v>
      </c>
      <c r="L43">
        <v>214579.20000000001</v>
      </c>
      <c r="M43">
        <v>214581.63949999999</v>
      </c>
      <c r="N43">
        <v>2.4395009999861941</v>
      </c>
      <c r="O43">
        <v>-917.86</v>
      </c>
      <c r="P43">
        <v>213661.34</v>
      </c>
      <c r="Q43">
        <v>213661.34</v>
      </c>
      <c r="R43">
        <v>2.9103830456733704E-11</v>
      </c>
      <c r="S43">
        <v>2574950.37</v>
      </c>
      <c r="T43">
        <v>214579.20000000001</v>
      </c>
      <c r="U43">
        <v>2574950.3999999999</v>
      </c>
      <c r="V43">
        <v>3.0000000260770321E-2</v>
      </c>
      <c r="W43" t="b">
        <v>1</v>
      </c>
      <c r="X43" t="b">
        <v>1</v>
      </c>
      <c r="Y43" t="b">
        <v>1</v>
      </c>
      <c r="Z43" t="b">
        <v>1</v>
      </c>
      <c r="AA43" t="b">
        <v>1</v>
      </c>
      <c r="AB43" t="s">
        <v>282</v>
      </c>
      <c r="AC43" t="s">
        <v>283</v>
      </c>
    </row>
    <row r="44" spans="1:29" x14ac:dyDescent="0.25">
      <c r="A44" t="s">
        <v>126</v>
      </c>
      <c r="B44" t="s">
        <v>61</v>
      </c>
      <c r="C44" t="s">
        <v>62</v>
      </c>
      <c r="D44" t="s">
        <v>75</v>
      </c>
      <c r="E44" t="s">
        <v>69</v>
      </c>
      <c r="F44">
        <v>260</v>
      </c>
      <c r="G44">
        <v>958.12</v>
      </c>
      <c r="H44">
        <v>249110.93</v>
      </c>
      <c r="I44">
        <v>6.9699999999999998E-2</v>
      </c>
      <c r="J44">
        <v>249111.2</v>
      </c>
      <c r="K44">
        <v>0.27000000001862645</v>
      </c>
      <c r="L44">
        <v>231749.2</v>
      </c>
      <c r="M44">
        <v>231747.8982</v>
      </c>
      <c r="N44">
        <v>1.3018210000300314</v>
      </c>
      <c r="O44">
        <v>400.22</v>
      </c>
      <c r="P44">
        <v>232149.41</v>
      </c>
      <c r="Q44">
        <v>232149.42</v>
      </c>
      <c r="R44">
        <v>1.0000000009313226E-2</v>
      </c>
      <c r="S44">
        <v>2780990.38</v>
      </c>
      <c r="T44">
        <v>231749.2</v>
      </c>
      <c r="U44">
        <v>2780990.4</v>
      </c>
      <c r="V44">
        <v>2.0000000484287739E-2</v>
      </c>
      <c r="W44" t="b">
        <v>1</v>
      </c>
      <c r="X44" t="b">
        <v>1</v>
      </c>
      <c r="Y44" t="b">
        <v>1</v>
      </c>
      <c r="Z44" t="b">
        <v>1</v>
      </c>
      <c r="AA44" t="b">
        <v>1</v>
      </c>
      <c r="AB44" t="s">
        <v>282</v>
      </c>
      <c r="AC44" t="s">
        <v>283</v>
      </c>
    </row>
    <row r="45" spans="1:29" x14ac:dyDescent="0.25">
      <c r="A45" t="s">
        <v>126</v>
      </c>
      <c r="B45" t="s">
        <v>61</v>
      </c>
      <c r="C45" t="s">
        <v>65</v>
      </c>
      <c r="D45" t="s">
        <v>78</v>
      </c>
      <c r="E45" t="s">
        <v>69</v>
      </c>
      <c r="F45">
        <v>55</v>
      </c>
      <c r="G45">
        <v>798.4</v>
      </c>
      <c r="H45">
        <v>43912.2</v>
      </c>
      <c r="I45">
        <v>0.1709</v>
      </c>
      <c r="J45">
        <v>43912</v>
      </c>
      <c r="K45">
        <v>0.19999999999708962</v>
      </c>
      <c r="L45">
        <v>36407.730000000003</v>
      </c>
      <c r="M45">
        <v>36407.605000000003</v>
      </c>
      <c r="N45">
        <v>0.1249800000077812</v>
      </c>
      <c r="O45">
        <v>-1854.21</v>
      </c>
      <c r="P45">
        <v>34553.519999999997</v>
      </c>
      <c r="Q45">
        <v>34553.519999999997</v>
      </c>
      <c r="R45">
        <v>7.2759576141834259E-12</v>
      </c>
      <c r="S45">
        <v>436892.76</v>
      </c>
      <c r="T45">
        <v>36407.730000000003</v>
      </c>
      <c r="U45">
        <v>436892.76</v>
      </c>
      <c r="V45">
        <v>0</v>
      </c>
      <c r="W45" t="b">
        <v>1</v>
      </c>
      <c r="X45" t="b">
        <v>1</v>
      </c>
      <c r="Y45" t="b">
        <v>1</v>
      </c>
      <c r="Z45" t="b">
        <v>1</v>
      </c>
      <c r="AA45" t="b">
        <v>1</v>
      </c>
      <c r="AB45" t="s">
        <v>282</v>
      </c>
      <c r="AC45" t="s">
        <v>283</v>
      </c>
    </row>
    <row r="46" spans="1:29" x14ac:dyDescent="0.25">
      <c r="A46" t="s">
        <v>126</v>
      </c>
      <c r="B46" t="s">
        <v>67</v>
      </c>
      <c r="C46" t="s">
        <v>65</v>
      </c>
      <c r="D46" t="s">
        <v>78</v>
      </c>
      <c r="E46" t="s">
        <v>69</v>
      </c>
      <c r="F46">
        <v>153</v>
      </c>
      <c r="G46">
        <v>287.64999999999998</v>
      </c>
      <c r="H46">
        <v>44010.78</v>
      </c>
      <c r="I46">
        <v>8.2000000000000007E-3</v>
      </c>
      <c r="J46">
        <v>44010.45</v>
      </c>
      <c r="K46">
        <v>0.33000000000174623</v>
      </c>
      <c r="L46">
        <v>43648.480000000003</v>
      </c>
      <c r="M46">
        <v>43649.891600000003</v>
      </c>
      <c r="N46">
        <v>1.411603999993531</v>
      </c>
      <c r="O46">
        <v>5225.45</v>
      </c>
      <c r="P46">
        <v>48873.93</v>
      </c>
      <c r="Q46">
        <v>48873.93</v>
      </c>
      <c r="R46">
        <v>0</v>
      </c>
      <c r="S46">
        <v>523781.81</v>
      </c>
      <c r="T46">
        <v>43648.480000000003</v>
      </c>
      <c r="U46">
        <v>523781.76</v>
      </c>
      <c r="V46">
        <v>4.9999999988358468E-2</v>
      </c>
      <c r="W46" t="b">
        <v>1</v>
      </c>
      <c r="X46" t="b">
        <v>1</v>
      </c>
      <c r="Y46" t="b">
        <v>1</v>
      </c>
      <c r="Z46" t="b">
        <v>1</v>
      </c>
      <c r="AA46" t="b">
        <v>1</v>
      </c>
      <c r="AB46" t="s">
        <v>282</v>
      </c>
      <c r="AC46" t="s">
        <v>283</v>
      </c>
    </row>
    <row r="47" spans="1:29" x14ac:dyDescent="0.25">
      <c r="A47" t="s">
        <v>127</v>
      </c>
      <c r="B47" t="s">
        <v>67</v>
      </c>
      <c r="C47" t="s">
        <v>68</v>
      </c>
      <c r="D47" t="s">
        <v>81</v>
      </c>
      <c r="E47" t="s">
        <v>63</v>
      </c>
      <c r="F47">
        <v>190</v>
      </c>
      <c r="G47">
        <v>572.87</v>
      </c>
      <c r="H47">
        <v>108846.11</v>
      </c>
      <c r="I47">
        <v>1.12E-2</v>
      </c>
      <c r="J47">
        <v>108845.3</v>
      </c>
      <c r="K47">
        <v>0.80999999999767169</v>
      </c>
      <c r="L47">
        <v>107628.24</v>
      </c>
      <c r="M47">
        <v>107627.0336</v>
      </c>
      <c r="N47">
        <v>1.2064320000063162</v>
      </c>
      <c r="O47">
        <v>10455.08</v>
      </c>
      <c r="P47">
        <v>118083.32</v>
      </c>
      <c r="Q47">
        <v>118083.32</v>
      </c>
      <c r="R47">
        <v>0</v>
      </c>
      <c r="S47">
        <v>1291538.8700000001</v>
      </c>
      <c r="T47">
        <v>107628.24</v>
      </c>
      <c r="U47">
        <v>1291538.8799999999</v>
      </c>
      <c r="V47">
        <v>1.0000000009313226E-2</v>
      </c>
      <c r="W47" t="b">
        <v>1</v>
      </c>
      <c r="X47" t="b">
        <v>1</v>
      </c>
      <c r="Y47" t="b">
        <v>1</v>
      </c>
      <c r="Z47" t="b">
        <v>1</v>
      </c>
      <c r="AA47" t="b">
        <v>1</v>
      </c>
      <c r="AB47" t="s">
        <v>282</v>
      </c>
      <c r="AC47" t="s">
        <v>283</v>
      </c>
    </row>
    <row r="48" spans="1:29" x14ac:dyDescent="0.25">
      <c r="A48" t="s">
        <v>127</v>
      </c>
      <c r="B48" t="s">
        <v>64</v>
      </c>
      <c r="C48" t="s">
        <v>68</v>
      </c>
      <c r="D48" t="s">
        <v>78</v>
      </c>
      <c r="E48" t="s">
        <v>63</v>
      </c>
      <c r="F48">
        <v>95</v>
      </c>
      <c r="G48">
        <v>794.08</v>
      </c>
      <c r="H48">
        <v>75437.240000000005</v>
      </c>
      <c r="I48">
        <v>0.1215</v>
      </c>
      <c r="J48">
        <v>75437.600000000006</v>
      </c>
      <c r="K48">
        <v>0.36000000000058208</v>
      </c>
      <c r="L48">
        <v>66268.59</v>
      </c>
      <c r="M48">
        <v>66271.615300000005</v>
      </c>
      <c r="N48">
        <v>3.025340000007418</v>
      </c>
      <c r="O48">
        <v>1726.33</v>
      </c>
      <c r="P48">
        <v>67994.929999999993</v>
      </c>
      <c r="Q48">
        <v>67994.92</v>
      </c>
      <c r="R48">
        <v>9.9999999947613105E-3</v>
      </c>
      <c r="S48">
        <v>795223.1</v>
      </c>
      <c r="T48">
        <v>66268.59</v>
      </c>
      <c r="U48">
        <v>795223.08</v>
      </c>
      <c r="V48">
        <v>2.0000000018626451E-2</v>
      </c>
      <c r="W48" t="b">
        <v>1</v>
      </c>
      <c r="X48" t="b">
        <v>1</v>
      </c>
      <c r="Y48" t="b">
        <v>1</v>
      </c>
      <c r="Z48" t="b">
        <v>1</v>
      </c>
      <c r="AA48" t="b">
        <v>1</v>
      </c>
      <c r="AB48" t="s">
        <v>282</v>
      </c>
      <c r="AC48" t="s">
        <v>283</v>
      </c>
    </row>
    <row r="49" spans="1:29" x14ac:dyDescent="0.25">
      <c r="A49" t="s">
        <v>127</v>
      </c>
      <c r="B49" t="s">
        <v>64</v>
      </c>
      <c r="C49" t="s">
        <v>62</v>
      </c>
      <c r="D49" t="s">
        <v>75</v>
      </c>
      <c r="E49" t="s">
        <v>66</v>
      </c>
      <c r="F49">
        <v>248</v>
      </c>
      <c r="G49">
        <v>377.26</v>
      </c>
      <c r="H49">
        <v>93561.18</v>
      </c>
      <c r="I49">
        <v>0.19850000000000001</v>
      </c>
      <c r="J49">
        <v>93560.48</v>
      </c>
      <c r="K49">
        <v>0.69999999999708962</v>
      </c>
      <c r="L49">
        <v>74986.990000000005</v>
      </c>
      <c r="M49">
        <v>74989.285799999998</v>
      </c>
      <c r="N49">
        <v>2.2957699999824399</v>
      </c>
      <c r="O49">
        <v>4970.72</v>
      </c>
      <c r="P49">
        <v>79957.710000000006</v>
      </c>
      <c r="Q49">
        <v>79957.710000000006</v>
      </c>
      <c r="R49">
        <v>0</v>
      </c>
      <c r="S49">
        <v>899843.86</v>
      </c>
      <c r="T49">
        <v>74986.990000000005</v>
      </c>
      <c r="U49">
        <v>899843.88</v>
      </c>
      <c r="V49">
        <v>2.0000000135041773E-2</v>
      </c>
      <c r="W49" t="b">
        <v>1</v>
      </c>
      <c r="X49" t="b">
        <v>1</v>
      </c>
      <c r="Y49" t="b">
        <v>1</v>
      </c>
      <c r="Z49" t="b">
        <v>1</v>
      </c>
      <c r="AA49" t="b">
        <v>1</v>
      </c>
      <c r="AB49" t="s">
        <v>282</v>
      </c>
      <c r="AC49" t="s">
        <v>283</v>
      </c>
    </row>
    <row r="50" spans="1:29" x14ac:dyDescent="0.25">
      <c r="A50" t="s">
        <v>127</v>
      </c>
      <c r="B50" t="s">
        <v>67</v>
      </c>
      <c r="C50" t="s">
        <v>62</v>
      </c>
      <c r="D50" t="s">
        <v>78</v>
      </c>
      <c r="E50" t="s">
        <v>63</v>
      </c>
      <c r="F50">
        <v>138</v>
      </c>
      <c r="G50">
        <v>1177.54</v>
      </c>
      <c r="H50">
        <v>162500.97</v>
      </c>
      <c r="I50">
        <v>0.1832</v>
      </c>
      <c r="J50">
        <v>162500.51999999999</v>
      </c>
      <c r="K50">
        <v>0.45000000001164153</v>
      </c>
      <c r="L50">
        <v>132722.95000000001</v>
      </c>
      <c r="M50">
        <v>132730.7923</v>
      </c>
      <c r="N50">
        <v>7.8422959999879822</v>
      </c>
      <c r="O50">
        <v>-13177.66</v>
      </c>
      <c r="P50">
        <v>119545.3</v>
      </c>
      <c r="Q50">
        <v>119545.29</v>
      </c>
      <c r="R50">
        <v>9.9999999947613105E-3</v>
      </c>
      <c r="S50">
        <v>1592675.46</v>
      </c>
      <c r="T50">
        <v>132722.95000000001</v>
      </c>
      <c r="U50">
        <v>1592675.4</v>
      </c>
      <c r="V50">
        <v>5.9999999823048711E-2</v>
      </c>
      <c r="W50" t="b">
        <v>1</v>
      </c>
      <c r="X50" t="b">
        <v>1</v>
      </c>
      <c r="Y50" t="b">
        <v>1</v>
      </c>
      <c r="Z50" t="b">
        <v>1</v>
      </c>
      <c r="AA50" t="b">
        <v>1</v>
      </c>
      <c r="AB50" t="s">
        <v>282</v>
      </c>
      <c r="AC50" t="s">
        <v>283</v>
      </c>
    </row>
    <row r="51" spans="1:29" x14ac:dyDescent="0.25">
      <c r="A51" t="s">
        <v>127</v>
      </c>
      <c r="B51" t="s">
        <v>64</v>
      </c>
      <c r="C51" t="s">
        <v>65</v>
      </c>
      <c r="D51" t="s">
        <v>75</v>
      </c>
      <c r="E51" t="s">
        <v>69</v>
      </c>
      <c r="F51">
        <v>56</v>
      </c>
      <c r="G51">
        <v>888.89</v>
      </c>
      <c r="H51">
        <v>49777.88</v>
      </c>
      <c r="I51">
        <v>0.1615</v>
      </c>
      <c r="J51">
        <v>49777.84</v>
      </c>
      <c r="K51">
        <v>4.0000000000873115E-2</v>
      </c>
      <c r="L51">
        <v>41738.239999999998</v>
      </c>
      <c r="M51">
        <v>41738.752399999998</v>
      </c>
      <c r="N51">
        <v>0.51238000000012107</v>
      </c>
      <c r="O51">
        <v>5208.16</v>
      </c>
      <c r="P51">
        <v>46946.400000000001</v>
      </c>
      <c r="Q51">
        <v>46946.400000000001</v>
      </c>
      <c r="R51">
        <v>7.2759576141834259E-12</v>
      </c>
      <c r="S51">
        <v>500858.92</v>
      </c>
      <c r="T51">
        <v>41738.239999999998</v>
      </c>
      <c r="U51">
        <v>500858.88</v>
      </c>
      <c r="V51">
        <v>3.9999999979045242E-2</v>
      </c>
      <c r="W51" t="b">
        <v>1</v>
      </c>
      <c r="X51" t="b">
        <v>1</v>
      </c>
      <c r="Y51" t="b">
        <v>1</v>
      </c>
      <c r="Z51" t="b">
        <v>1</v>
      </c>
      <c r="AA51" t="b">
        <v>1</v>
      </c>
      <c r="AB51" t="s">
        <v>282</v>
      </c>
      <c r="AC51" t="s">
        <v>283</v>
      </c>
    </row>
    <row r="52" spans="1:29" x14ac:dyDescent="0.25">
      <c r="A52" t="s">
        <v>127</v>
      </c>
      <c r="B52" t="s">
        <v>61</v>
      </c>
      <c r="C52" t="s">
        <v>68</v>
      </c>
      <c r="D52" t="s">
        <v>81</v>
      </c>
      <c r="E52" t="s">
        <v>69</v>
      </c>
      <c r="F52">
        <v>131</v>
      </c>
      <c r="G52">
        <v>387.29</v>
      </c>
      <c r="H52">
        <v>50735.09</v>
      </c>
      <c r="I52">
        <v>1.5800000000000002E-2</v>
      </c>
      <c r="J52">
        <v>50734.990000000005</v>
      </c>
      <c r="K52">
        <v>9.9999999991268851E-2</v>
      </c>
      <c r="L52">
        <v>49935.98</v>
      </c>
      <c r="M52">
        <v>49933.475599999998</v>
      </c>
      <c r="N52">
        <v>2.5044220000054338</v>
      </c>
      <c r="O52">
        <v>6685.07</v>
      </c>
      <c r="P52">
        <v>56621.05</v>
      </c>
      <c r="Q52">
        <v>56621.05</v>
      </c>
      <c r="R52">
        <v>0</v>
      </c>
      <c r="S52">
        <v>599231.80000000005</v>
      </c>
      <c r="T52">
        <v>49935.98</v>
      </c>
      <c r="U52">
        <v>599231.76</v>
      </c>
      <c r="V52">
        <v>4.0000000037252903E-2</v>
      </c>
      <c r="W52" t="b">
        <v>1</v>
      </c>
      <c r="X52" t="b">
        <v>1</v>
      </c>
      <c r="Y52" t="b">
        <v>1</v>
      </c>
      <c r="Z52" t="b">
        <v>1</v>
      </c>
      <c r="AA52" t="b">
        <v>1</v>
      </c>
      <c r="AB52" t="s">
        <v>282</v>
      </c>
      <c r="AC52" t="s">
        <v>283</v>
      </c>
    </row>
    <row r="53" spans="1:29" x14ac:dyDescent="0.25">
      <c r="A53" t="s">
        <v>127</v>
      </c>
      <c r="B53" t="s">
        <v>61</v>
      </c>
      <c r="C53" t="s">
        <v>65</v>
      </c>
      <c r="D53" t="s">
        <v>78</v>
      </c>
      <c r="E53" t="s">
        <v>69</v>
      </c>
      <c r="F53">
        <v>286</v>
      </c>
      <c r="G53">
        <v>499.94</v>
      </c>
      <c r="H53">
        <v>142982.25</v>
      </c>
      <c r="I53">
        <v>2.3E-2</v>
      </c>
      <c r="J53">
        <v>142982.84</v>
      </c>
      <c r="K53">
        <v>0.58999999999650754</v>
      </c>
      <c r="L53">
        <v>139698.99</v>
      </c>
      <c r="M53">
        <v>139693.65820000001</v>
      </c>
      <c r="N53">
        <v>5.3317499999830034</v>
      </c>
      <c r="O53">
        <v>13513.77</v>
      </c>
      <c r="P53">
        <v>153212.76</v>
      </c>
      <c r="Q53">
        <v>153212.76</v>
      </c>
      <c r="R53">
        <v>2.9103830456733704E-11</v>
      </c>
      <c r="S53">
        <v>1676387.88</v>
      </c>
      <c r="T53">
        <v>139698.99</v>
      </c>
      <c r="U53">
        <v>1676387.88</v>
      </c>
      <c r="V53">
        <v>0</v>
      </c>
      <c r="W53" t="b">
        <v>1</v>
      </c>
      <c r="X53" t="b">
        <v>1</v>
      </c>
      <c r="Y53" t="b">
        <v>1</v>
      </c>
      <c r="Z53" t="b">
        <v>1</v>
      </c>
      <c r="AA53" t="b">
        <v>1</v>
      </c>
      <c r="AB53" t="s">
        <v>282</v>
      </c>
      <c r="AC53" t="s">
        <v>283</v>
      </c>
    </row>
    <row r="54" spans="1:29" x14ac:dyDescent="0.25">
      <c r="A54" t="s">
        <v>127</v>
      </c>
      <c r="B54" t="s">
        <v>67</v>
      </c>
      <c r="C54" t="s">
        <v>65</v>
      </c>
      <c r="D54" t="s">
        <v>81</v>
      </c>
      <c r="E54" t="s">
        <v>63</v>
      </c>
      <c r="F54">
        <v>88</v>
      </c>
      <c r="G54">
        <v>599.86</v>
      </c>
      <c r="H54">
        <v>52787.63</v>
      </c>
      <c r="I54">
        <v>0.19869999999999999</v>
      </c>
      <c r="J54">
        <v>52787.68</v>
      </c>
      <c r="K54">
        <v>5.0000000002910383E-2</v>
      </c>
      <c r="L54">
        <v>42297.07</v>
      </c>
      <c r="M54">
        <v>42298.727899999998</v>
      </c>
      <c r="N54">
        <v>1.6579189999974915</v>
      </c>
      <c r="O54">
        <v>-832.68</v>
      </c>
      <c r="P54">
        <v>41464.39</v>
      </c>
      <c r="Q54">
        <v>41464.39</v>
      </c>
      <c r="R54">
        <v>0</v>
      </c>
      <c r="S54">
        <v>507564.79</v>
      </c>
      <c r="T54">
        <v>42297.07</v>
      </c>
      <c r="U54">
        <v>507564.84</v>
      </c>
      <c r="V54">
        <v>4.9999999988358468E-2</v>
      </c>
      <c r="W54" t="b">
        <v>1</v>
      </c>
      <c r="X54" t="b">
        <v>1</v>
      </c>
      <c r="Y54" t="b">
        <v>1</v>
      </c>
      <c r="Z54" t="b">
        <v>1</v>
      </c>
      <c r="AA54" t="b">
        <v>1</v>
      </c>
      <c r="AB54" t="s">
        <v>282</v>
      </c>
      <c r="AC54" t="s">
        <v>283</v>
      </c>
    </row>
    <row r="55" spans="1:29" x14ac:dyDescent="0.25">
      <c r="A55" t="s">
        <v>127</v>
      </c>
      <c r="B55" t="s">
        <v>61</v>
      </c>
      <c r="C55" t="s">
        <v>62</v>
      </c>
      <c r="D55" t="s">
        <v>81</v>
      </c>
      <c r="E55" t="s">
        <v>63</v>
      </c>
      <c r="F55">
        <v>89</v>
      </c>
      <c r="G55">
        <v>458.17</v>
      </c>
      <c r="H55">
        <v>40777.480000000003</v>
      </c>
      <c r="I55">
        <v>8.6499999999999994E-2</v>
      </c>
      <c r="J55">
        <v>40777.130000000005</v>
      </c>
      <c r="K55">
        <v>0.34999999999854481</v>
      </c>
      <c r="L55">
        <v>37250.06</v>
      </c>
      <c r="M55">
        <v>37250.228000000003</v>
      </c>
      <c r="N55">
        <v>0.16798000000562752</v>
      </c>
      <c r="O55">
        <v>-2222.8000000000002</v>
      </c>
      <c r="P55">
        <v>35027.26</v>
      </c>
      <c r="Q55">
        <v>35027.26</v>
      </c>
      <c r="R55">
        <v>7.2759576141834259E-12</v>
      </c>
      <c r="S55">
        <v>447000.7</v>
      </c>
      <c r="T55">
        <v>37250.06</v>
      </c>
      <c r="U55">
        <v>447000.72</v>
      </c>
      <c r="V55">
        <v>1.9999999960418791E-2</v>
      </c>
      <c r="W55" t="b">
        <v>1</v>
      </c>
      <c r="X55" t="b">
        <v>1</v>
      </c>
      <c r="Y55" t="b">
        <v>1</v>
      </c>
      <c r="Z55" t="b">
        <v>1</v>
      </c>
      <c r="AA55" t="b">
        <v>1</v>
      </c>
      <c r="AB55" t="s">
        <v>282</v>
      </c>
      <c r="AC55" t="s">
        <v>283</v>
      </c>
    </row>
    <row r="56" spans="1:29" x14ac:dyDescent="0.25">
      <c r="A56" t="s">
        <v>128</v>
      </c>
      <c r="B56" t="s">
        <v>64</v>
      </c>
      <c r="C56" t="s">
        <v>68</v>
      </c>
      <c r="D56" t="s">
        <v>78</v>
      </c>
      <c r="E56" t="s">
        <v>63</v>
      </c>
      <c r="F56">
        <v>224</v>
      </c>
      <c r="G56">
        <v>996.03</v>
      </c>
      <c r="H56">
        <v>223111.02</v>
      </c>
      <c r="I56">
        <v>0.1227</v>
      </c>
      <c r="J56">
        <v>223110.72</v>
      </c>
      <c r="K56">
        <v>0.29999999998835847</v>
      </c>
      <c r="L56">
        <v>195742.96</v>
      </c>
      <c r="M56">
        <v>195735.2978</v>
      </c>
      <c r="N56">
        <v>7.6621539999905508</v>
      </c>
      <c r="O56">
        <v>-16272.74</v>
      </c>
      <c r="P56">
        <v>179470.22</v>
      </c>
      <c r="Q56">
        <v>179470.22</v>
      </c>
      <c r="R56">
        <v>0</v>
      </c>
      <c r="S56">
        <v>2348915.56</v>
      </c>
      <c r="T56">
        <v>195742.96</v>
      </c>
      <c r="U56">
        <v>2348915.52</v>
      </c>
      <c r="V56">
        <v>4.0000000037252903E-2</v>
      </c>
      <c r="W56" t="b">
        <v>1</v>
      </c>
      <c r="X56" t="b">
        <v>1</v>
      </c>
      <c r="Y56" t="b">
        <v>1</v>
      </c>
      <c r="Z56" t="b">
        <v>1</v>
      </c>
      <c r="AA56" t="b">
        <v>1</v>
      </c>
      <c r="AB56" t="s">
        <v>282</v>
      </c>
      <c r="AC56" t="s">
        <v>283</v>
      </c>
    </row>
    <row r="57" spans="1:29" x14ac:dyDescent="0.25">
      <c r="A57" t="s">
        <v>128</v>
      </c>
      <c r="B57" t="s">
        <v>61</v>
      </c>
      <c r="C57" t="s">
        <v>65</v>
      </c>
      <c r="D57" t="s">
        <v>81</v>
      </c>
      <c r="E57" t="s">
        <v>66</v>
      </c>
      <c r="F57">
        <v>205</v>
      </c>
      <c r="G57">
        <v>1034.77</v>
      </c>
      <c r="H57">
        <v>212128.17</v>
      </c>
      <c r="I57">
        <v>9.1399999999999995E-2</v>
      </c>
      <c r="J57">
        <v>212127.85</v>
      </c>
      <c r="K57">
        <v>0.32000000000698492</v>
      </c>
      <c r="L57">
        <v>192731.19</v>
      </c>
      <c r="M57">
        <v>192739.65530000001</v>
      </c>
      <c r="N57">
        <v>8.4652620000124443</v>
      </c>
      <c r="O57">
        <v>18719.419999999998</v>
      </c>
      <c r="P57">
        <v>211450.61</v>
      </c>
      <c r="Q57">
        <v>211450.61</v>
      </c>
      <c r="R57">
        <v>0</v>
      </c>
      <c r="S57">
        <v>2312774.31</v>
      </c>
      <c r="T57">
        <v>192731.19</v>
      </c>
      <c r="U57">
        <v>2312774.2799999998</v>
      </c>
      <c r="V57">
        <v>2.9999999795109034E-2</v>
      </c>
      <c r="W57" t="b">
        <v>1</v>
      </c>
      <c r="X57" t="b">
        <v>1</v>
      </c>
      <c r="Y57" t="b">
        <v>1</v>
      </c>
      <c r="Z57" t="b">
        <v>1</v>
      </c>
      <c r="AA57" t="b">
        <v>1</v>
      </c>
      <c r="AB57" t="s">
        <v>282</v>
      </c>
      <c r="AC57" t="s">
        <v>283</v>
      </c>
    </row>
    <row r="58" spans="1:29" x14ac:dyDescent="0.25">
      <c r="A58" t="s">
        <v>128</v>
      </c>
      <c r="B58" t="s">
        <v>61</v>
      </c>
      <c r="C58" t="s">
        <v>62</v>
      </c>
      <c r="D58" t="s">
        <v>81</v>
      </c>
      <c r="E58" t="s">
        <v>66</v>
      </c>
      <c r="F58">
        <v>186</v>
      </c>
      <c r="G58">
        <v>257.97000000000003</v>
      </c>
      <c r="H58">
        <v>47982.79</v>
      </c>
      <c r="I58">
        <v>7.7999999999999996E-3</v>
      </c>
      <c r="J58">
        <v>47982.420000000006</v>
      </c>
      <c r="K58">
        <v>0.36999999999534339</v>
      </c>
      <c r="L58">
        <v>47606.79</v>
      </c>
      <c r="M58">
        <v>47608.5242</v>
      </c>
      <c r="N58">
        <v>1.7342379999972763</v>
      </c>
      <c r="O58">
        <v>-1188.54</v>
      </c>
      <c r="P58">
        <v>46418.25</v>
      </c>
      <c r="Q58">
        <v>46418.25</v>
      </c>
      <c r="R58">
        <v>0</v>
      </c>
      <c r="S58">
        <v>571281.44999999995</v>
      </c>
      <c r="T58">
        <v>47606.79</v>
      </c>
      <c r="U58">
        <v>571281.48</v>
      </c>
      <c r="V58">
        <v>3.0000000027939677E-2</v>
      </c>
      <c r="W58" t="b">
        <v>1</v>
      </c>
      <c r="X58" t="b">
        <v>1</v>
      </c>
      <c r="Y58" t="b">
        <v>1</v>
      </c>
      <c r="Z58" t="b">
        <v>1</v>
      </c>
      <c r="AA58" t="b">
        <v>1</v>
      </c>
      <c r="AB58" t="s">
        <v>282</v>
      </c>
      <c r="AC58" t="s">
        <v>283</v>
      </c>
    </row>
    <row r="59" spans="1:29" x14ac:dyDescent="0.25">
      <c r="A59" t="s">
        <v>128</v>
      </c>
      <c r="B59" t="s">
        <v>61</v>
      </c>
      <c r="C59" t="s">
        <v>68</v>
      </c>
      <c r="D59" t="s">
        <v>75</v>
      </c>
      <c r="E59" t="s">
        <v>69</v>
      </c>
      <c r="F59">
        <v>295</v>
      </c>
      <c r="G59">
        <v>716.58</v>
      </c>
      <c r="H59">
        <v>211392.35</v>
      </c>
      <c r="I59">
        <v>6.8400000000000002E-2</v>
      </c>
      <c r="J59">
        <v>211391.1</v>
      </c>
      <c r="K59">
        <v>1.25</v>
      </c>
      <c r="L59">
        <v>196933.05</v>
      </c>
      <c r="M59">
        <v>196933.1133</v>
      </c>
      <c r="N59">
        <v>6.3260000024456531E-2</v>
      </c>
      <c r="O59">
        <v>-7591.21</v>
      </c>
      <c r="P59">
        <v>189341.84</v>
      </c>
      <c r="Q59">
        <v>189341.84</v>
      </c>
      <c r="R59">
        <v>0</v>
      </c>
      <c r="S59">
        <v>2363196.59</v>
      </c>
      <c r="T59">
        <v>196933.05</v>
      </c>
      <c r="U59">
        <v>2363196.6</v>
      </c>
      <c r="V59">
        <v>9.9999997764825821E-3</v>
      </c>
      <c r="W59" t="b">
        <v>1</v>
      </c>
      <c r="X59" t="b">
        <v>1</v>
      </c>
      <c r="Y59" t="b">
        <v>1</v>
      </c>
      <c r="Z59" t="b">
        <v>1</v>
      </c>
      <c r="AA59" t="b">
        <v>1</v>
      </c>
      <c r="AB59" t="s">
        <v>282</v>
      </c>
      <c r="AC59" t="s">
        <v>283</v>
      </c>
    </row>
    <row r="60" spans="1:29" x14ac:dyDescent="0.25">
      <c r="A60" t="s">
        <v>128</v>
      </c>
      <c r="B60" t="s">
        <v>67</v>
      </c>
      <c r="C60" t="s">
        <v>65</v>
      </c>
      <c r="D60" t="s">
        <v>81</v>
      </c>
      <c r="E60" t="s">
        <v>63</v>
      </c>
      <c r="F60">
        <v>199</v>
      </c>
      <c r="G60">
        <v>704.25</v>
      </c>
      <c r="H60">
        <v>140146.43</v>
      </c>
      <c r="I60">
        <v>8.8999999999999996E-2</v>
      </c>
      <c r="J60">
        <v>140145.75</v>
      </c>
      <c r="K60">
        <v>0.67999999999301508</v>
      </c>
      <c r="L60">
        <v>127675.22</v>
      </c>
      <c r="M60">
        <v>127673.3977</v>
      </c>
      <c r="N60">
        <v>1.8222700000042096</v>
      </c>
      <c r="O60">
        <v>2920.66</v>
      </c>
      <c r="P60">
        <v>130595.88</v>
      </c>
      <c r="Q60">
        <v>130595.88</v>
      </c>
      <c r="R60">
        <v>0</v>
      </c>
      <c r="S60">
        <v>1532102.65</v>
      </c>
      <c r="T60">
        <v>127675.22</v>
      </c>
      <c r="U60">
        <v>1532102.64</v>
      </c>
      <c r="V60">
        <v>9.9999997764825821E-3</v>
      </c>
      <c r="W60" t="b">
        <v>1</v>
      </c>
      <c r="X60" t="b">
        <v>1</v>
      </c>
      <c r="Y60" t="b">
        <v>1</v>
      </c>
      <c r="Z60" t="b">
        <v>1</v>
      </c>
      <c r="AA60" t="b">
        <v>1</v>
      </c>
      <c r="AB60" t="s">
        <v>282</v>
      </c>
      <c r="AC60" t="s">
        <v>283</v>
      </c>
    </row>
    <row r="61" spans="1:29" x14ac:dyDescent="0.25">
      <c r="A61" t="s">
        <v>128</v>
      </c>
      <c r="B61" t="s">
        <v>67</v>
      </c>
      <c r="C61" t="s">
        <v>62</v>
      </c>
      <c r="D61" t="s">
        <v>75</v>
      </c>
      <c r="E61" t="s">
        <v>63</v>
      </c>
      <c r="F61">
        <v>83</v>
      </c>
      <c r="G61">
        <v>1180.23</v>
      </c>
      <c r="H61">
        <v>97958.91</v>
      </c>
      <c r="I61">
        <v>0.20880000000000001</v>
      </c>
      <c r="J61">
        <v>97959.09</v>
      </c>
      <c r="K61">
        <v>0.17999999999301508</v>
      </c>
      <c r="L61">
        <v>77501.02</v>
      </c>
      <c r="M61">
        <v>77505.089600000007</v>
      </c>
      <c r="N61">
        <v>4.0695919999998296</v>
      </c>
      <c r="O61">
        <v>3955.1</v>
      </c>
      <c r="P61">
        <v>81456.12</v>
      </c>
      <c r="Q61">
        <v>81456.12</v>
      </c>
      <c r="R61">
        <v>1.4551915228366852E-11</v>
      </c>
      <c r="S61">
        <v>930012.29</v>
      </c>
      <c r="T61">
        <v>77501.02</v>
      </c>
      <c r="U61">
        <v>930012.24</v>
      </c>
      <c r="V61">
        <v>5.0000000046566129E-2</v>
      </c>
      <c r="W61" t="b">
        <v>1</v>
      </c>
      <c r="X61" t="b">
        <v>1</v>
      </c>
      <c r="Y61" t="b">
        <v>1</v>
      </c>
      <c r="Z61" t="b">
        <v>1</v>
      </c>
      <c r="AA61" t="b">
        <v>1</v>
      </c>
      <c r="AB61" t="s">
        <v>282</v>
      </c>
      <c r="AC61" t="s">
        <v>283</v>
      </c>
    </row>
    <row r="62" spans="1:29" x14ac:dyDescent="0.25">
      <c r="A62" t="s">
        <v>128</v>
      </c>
      <c r="B62" t="s">
        <v>67</v>
      </c>
      <c r="C62" t="s">
        <v>68</v>
      </c>
      <c r="D62" t="s">
        <v>78</v>
      </c>
      <c r="E62" t="s">
        <v>66</v>
      </c>
      <c r="F62">
        <v>114</v>
      </c>
      <c r="G62">
        <v>987.96</v>
      </c>
      <c r="H62">
        <v>112627.09</v>
      </c>
      <c r="I62">
        <v>0.22800000000000001</v>
      </c>
      <c r="J62">
        <v>112627.44</v>
      </c>
      <c r="K62">
        <v>0.35000000000582077</v>
      </c>
      <c r="L62">
        <v>86946.17</v>
      </c>
      <c r="M62">
        <v>86948.113500000007</v>
      </c>
      <c r="N62">
        <v>1.9434800000017276</v>
      </c>
      <c r="O62">
        <v>-3914.91</v>
      </c>
      <c r="P62">
        <v>83031.259999999995</v>
      </c>
      <c r="Q62">
        <v>83031.259999999995</v>
      </c>
      <c r="R62">
        <v>0</v>
      </c>
      <c r="S62">
        <v>1043354.03</v>
      </c>
      <c r="T62">
        <v>86946.17</v>
      </c>
      <c r="U62">
        <v>1043354.04</v>
      </c>
      <c r="V62">
        <v>1.0000000009313226E-2</v>
      </c>
      <c r="W62" t="b">
        <v>1</v>
      </c>
      <c r="X62" t="b">
        <v>1</v>
      </c>
      <c r="Y62" t="b">
        <v>1</v>
      </c>
      <c r="Z62" t="b">
        <v>1</v>
      </c>
      <c r="AA62" t="b">
        <v>1</v>
      </c>
      <c r="AB62" t="s">
        <v>282</v>
      </c>
      <c r="AC62" t="s">
        <v>283</v>
      </c>
    </row>
    <row r="63" spans="1:29" x14ac:dyDescent="0.25">
      <c r="A63" t="s">
        <v>128</v>
      </c>
      <c r="B63" t="s">
        <v>64</v>
      </c>
      <c r="C63" t="s">
        <v>65</v>
      </c>
      <c r="D63" t="s">
        <v>75</v>
      </c>
      <c r="E63" t="s">
        <v>66</v>
      </c>
      <c r="F63">
        <v>150</v>
      </c>
      <c r="G63">
        <v>957.4</v>
      </c>
      <c r="H63">
        <v>143610.43</v>
      </c>
      <c r="I63">
        <v>2.1000000000000001E-2</v>
      </c>
      <c r="J63">
        <v>143610</v>
      </c>
      <c r="K63">
        <v>0.42999999999301508</v>
      </c>
      <c r="L63">
        <v>140601.07999999999</v>
      </c>
      <c r="M63">
        <v>140594.611</v>
      </c>
      <c r="N63">
        <v>6.4690300000074785</v>
      </c>
      <c r="O63">
        <v>11906.73</v>
      </c>
      <c r="P63">
        <v>152507.81</v>
      </c>
      <c r="Q63">
        <v>152507.81</v>
      </c>
      <c r="R63">
        <v>0</v>
      </c>
      <c r="S63">
        <v>1687212.94</v>
      </c>
      <c r="T63">
        <v>140601.07999999999</v>
      </c>
      <c r="U63">
        <v>1687212.96</v>
      </c>
      <c r="V63">
        <v>2.0000000018626451E-2</v>
      </c>
      <c r="W63" t="b">
        <v>1</v>
      </c>
      <c r="X63" t="b">
        <v>1</v>
      </c>
      <c r="Y63" t="b">
        <v>1</v>
      </c>
      <c r="Z63" t="b">
        <v>1</v>
      </c>
      <c r="AA63" t="b">
        <v>1</v>
      </c>
      <c r="AB63" t="s">
        <v>282</v>
      </c>
      <c r="AC63" t="s">
        <v>283</v>
      </c>
    </row>
    <row r="64" spans="1:29" x14ac:dyDescent="0.25">
      <c r="A64" t="s">
        <v>128</v>
      </c>
      <c r="B64" t="s">
        <v>64</v>
      </c>
      <c r="C64" t="s">
        <v>62</v>
      </c>
      <c r="D64" t="s">
        <v>81</v>
      </c>
      <c r="E64" t="s">
        <v>69</v>
      </c>
      <c r="F64">
        <v>154</v>
      </c>
      <c r="G64">
        <v>1187.06</v>
      </c>
      <c r="H64">
        <v>182807.43</v>
      </c>
      <c r="I64">
        <v>0.1646</v>
      </c>
      <c r="J64">
        <v>182807.24</v>
      </c>
      <c r="K64">
        <v>0.19000000000232831</v>
      </c>
      <c r="L64">
        <v>152719.23000000001</v>
      </c>
      <c r="M64">
        <v>152717.32699999999</v>
      </c>
      <c r="N64">
        <v>1.9029780000273604</v>
      </c>
      <c r="O64">
        <v>-9184.0400000000009</v>
      </c>
      <c r="P64">
        <v>143535.19</v>
      </c>
      <c r="Q64">
        <v>143535.19</v>
      </c>
      <c r="R64">
        <v>0</v>
      </c>
      <c r="S64">
        <v>1832630.71</v>
      </c>
      <c r="T64">
        <v>152719.23000000001</v>
      </c>
      <c r="U64">
        <v>1832630.76</v>
      </c>
      <c r="V64">
        <v>5.0000000279396772E-2</v>
      </c>
      <c r="W64" t="b">
        <v>1</v>
      </c>
      <c r="X64" t="b">
        <v>1</v>
      </c>
      <c r="Y64" t="b">
        <v>1</v>
      </c>
      <c r="Z64" t="b">
        <v>1</v>
      </c>
      <c r="AA64" t="b">
        <v>1</v>
      </c>
      <c r="AB64" t="s">
        <v>282</v>
      </c>
      <c r="AC64" t="s">
        <v>283</v>
      </c>
    </row>
    <row r="65" spans="1:29" x14ac:dyDescent="0.25">
      <c r="A65" t="s">
        <v>129</v>
      </c>
      <c r="B65" t="s">
        <v>64</v>
      </c>
      <c r="C65" t="s">
        <v>68</v>
      </c>
      <c r="D65" t="s">
        <v>75</v>
      </c>
      <c r="E65" t="s">
        <v>63</v>
      </c>
      <c r="F65">
        <v>251</v>
      </c>
      <c r="G65">
        <v>622.01</v>
      </c>
      <c r="H65">
        <v>156125.48000000001</v>
      </c>
      <c r="I65">
        <v>0.15590000000000001</v>
      </c>
      <c r="J65">
        <v>156124.51</v>
      </c>
      <c r="K65">
        <v>0.97000000000116415</v>
      </c>
      <c r="L65">
        <v>131785.79</v>
      </c>
      <c r="M65">
        <v>131785.5177</v>
      </c>
      <c r="N65">
        <v>0.27233199999318458</v>
      </c>
      <c r="O65">
        <v>-5654.43</v>
      </c>
      <c r="P65">
        <v>126131.36</v>
      </c>
      <c r="Q65">
        <v>126131.36</v>
      </c>
      <c r="R65">
        <v>1.4551915228366852E-11</v>
      </c>
      <c r="S65">
        <v>1581429.43</v>
      </c>
      <c r="T65">
        <v>131785.79</v>
      </c>
      <c r="U65">
        <v>1581429.48</v>
      </c>
      <c r="V65">
        <v>5.0000000046566129E-2</v>
      </c>
      <c r="W65" t="b">
        <v>1</v>
      </c>
      <c r="X65" t="b">
        <v>1</v>
      </c>
      <c r="Y65" t="b">
        <v>1</v>
      </c>
      <c r="Z65" t="b">
        <v>1</v>
      </c>
      <c r="AA65" t="b">
        <v>1</v>
      </c>
      <c r="AB65" t="s">
        <v>282</v>
      </c>
      <c r="AC65" t="s">
        <v>283</v>
      </c>
    </row>
    <row r="66" spans="1:29" x14ac:dyDescent="0.25">
      <c r="A66" t="s">
        <v>129</v>
      </c>
      <c r="B66" t="s">
        <v>64</v>
      </c>
      <c r="C66" t="s">
        <v>62</v>
      </c>
      <c r="D66" t="s">
        <v>81</v>
      </c>
      <c r="E66" t="s">
        <v>66</v>
      </c>
      <c r="F66">
        <v>168</v>
      </c>
      <c r="G66">
        <v>964.85</v>
      </c>
      <c r="H66">
        <v>162095.03</v>
      </c>
      <c r="I66">
        <v>0.1661</v>
      </c>
      <c r="J66">
        <v>162094.80000000002</v>
      </c>
      <c r="K66">
        <v>0.22999999998137355</v>
      </c>
      <c r="L66">
        <v>135178.87</v>
      </c>
      <c r="M66">
        <v>135171.04550000001</v>
      </c>
      <c r="N66">
        <v>7.8244830000039656</v>
      </c>
      <c r="O66">
        <v>12888.71</v>
      </c>
      <c r="P66">
        <v>148067.57999999999</v>
      </c>
      <c r="Q66">
        <v>148067.57999999999</v>
      </c>
      <c r="R66">
        <v>0</v>
      </c>
      <c r="S66">
        <v>1622146.45</v>
      </c>
      <c r="T66">
        <v>135178.87</v>
      </c>
      <c r="U66">
        <v>1622146.44</v>
      </c>
      <c r="V66">
        <v>1.0000000009313226E-2</v>
      </c>
      <c r="W66" t="b">
        <v>1</v>
      </c>
      <c r="X66" t="b">
        <v>1</v>
      </c>
      <c r="Y66" t="b">
        <v>1</v>
      </c>
      <c r="Z66" t="b">
        <v>1</v>
      </c>
      <c r="AA66" t="b">
        <v>1</v>
      </c>
      <c r="AB66" t="s">
        <v>282</v>
      </c>
      <c r="AC66" t="s">
        <v>283</v>
      </c>
    </row>
    <row r="67" spans="1:29" x14ac:dyDescent="0.25">
      <c r="A67" t="s">
        <v>129</v>
      </c>
      <c r="B67" t="s">
        <v>64</v>
      </c>
      <c r="C67" t="s">
        <v>65</v>
      </c>
      <c r="D67" t="s">
        <v>75</v>
      </c>
      <c r="E67" t="s">
        <v>63</v>
      </c>
      <c r="F67">
        <v>125</v>
      </c>
      <c r="G67">
        <v>616</v>
      </c>
      <c r="H67">
        <v>76999.61</v>
      </c>
      <c r="I67">
        <v>3.4500000000000003E-2</v>
      </c>
      <c r="J67">
        <v>77000</v>
      </c>
      <c r="K67">
        <v>0.38999999999941792</v>
      </c>
      <c r="L67">
        <v>74342.62</v>
      </c>
      <c r="M67">
        <v>74343.123500000002</v>
      </c>
      <c r="N67">
        <v>0.50345499999821186</v>
      </c>
      <c r="O67">
        <v>-3000.41</v>
      </c>
      <c r="P67">
        <v>71342.22</v>
      </c>
      <c r="Q67">
        <v>71342.210000000006</v>
      </c>
      <c r="R67">
        <v>1.0000000009313226E-2</v>
      </c>
      <c r="S67">
        <v>892111.46</v>
      </c>
      <c r="T67">
        <v>74342.62</v>
      </c>
      <c r="U67">
        <v>892111.44</v>
      </c>
      <c r="V67">
        <v>2.0000000018626451E-2</v>
      </c>
      <c r="W67" t="b">
        <v>1</v>
      </c>
      <c r="X67" t="b">
        <v>1</v>
      </c>
      <c r="Y67" t="b">
        <v>1</v>
      </c>
      <c r="Z67" t="b">
        <v>1</v>
      </c>
      <c r="AA67" t="b">
        <v>1</v>
      </c>
      <c r="AB67" t="s">
        <v>282</v>
      </c>
      <c r="AC67" t="s">
        <v>283</v>
      </c>
    </row>
    <row r="68" spans="1:29" x14ac:dyDescent="0.25">
      <c r="A68" t="s">
        <v>129</v>
      </c>
      <c r="B68" t="s">
        <v>67</v>
      </c>
      <c r="C68" t="s">
        <v>68</v>
      </c>
      <c r="D68" t="s">
        <v>81</v>
      </c>
      <c r="E68" t="s">
        <v>63</v>
      </c>
      <c r="F68">
        <v>180</v>
      </c>
      <c r="G68">
        <v>315</v>
      </c>
      <c r="H68">
        <v>56699.61</v>
      </c>
      <c r="I68">
        <v>0.1671</v>
      </c>
      <c r="J68">
        <v>56700</v>
      </c>
      <c r="K68">
        <v>0.38999999999941792</v>
      </c>
      <c r="L68">
        <v>47225.82</v>
      </c>
      <c r="M68">
        <v>47225.105199999998</v>
      </c>
      <c r="N68">
        <v>0.71483099999750266</v>
      </c>
      <c r="O68">
        <v>5343.71</v>
      </c>
      <c r="P68">
        <v>52569.52</v>
      </c>
      <c r="Q68">
        <v>52569.53</v>
      </c>
      <c r="R68">
        <v>1.0000000002037268E-2</v>
      </c>
      <c r="S68">
        <v>566709.79</v>
      </c>
      <c r="T68">
        <v>47225.82</v>
      </c>
      <c r="U68">
        <v>566709.84</v>
      </c>
      <c r="V68">
        <v>4.9999999930150807E-2</v>
      </c>
      <c r="W68" t="b">
        <v>1</v>
      </c>
      <c r="X68" t="b">
        <v>1</v>
      </c>
      <c r="Y68" t="b">
        <v>1</v>
      </c>
      <c r="Z68" t="b">
        <v>1</v>
      </c>
      <c r="AA68" t="b">
        <v>1</v>
      </c>
      <c r="AB68" t="s">
        <v>282</v>
      </c>
      <c r="AC68" t="s">
        <v>283</v>
      </c>
    </row>
    <row r="69" spans="1:29" x14ac:dyDescent="0.25">
      <c r="A69" t="s">
        <v>129</v>
      </c>
      <c r="B69" t="s">
        <v>61</v>
      </c>
      <c r="C69" t="s">
        <v>62</v>
      </c>
      <c r="D69" t="s">
        <v>75</v>
      </c>
      <c r="E69" t="s">
        <v>69</v>
      </c>
      <c r="F69">
        <v>55</v>
      </c>
      <c r="G69">
        <v>552.63</v>
      </c>
      <c r="H69">
        <v>30394.78</v>
      </c>
      <c r="I69">
        <v>7.1300000000000002E-2</v>
      </c>
      <c r="J69">
        <v>30394.65</v>
      </c>
      <c r="K69">
        <v>0.12999999999738066</v>
      </c>
      <c r="L69">
        <v>28228.23</v>
      </c>
      <c r="M69">
        <v>28227.6322</v>
      </c>
      <c r="N69">
        <v>0.59781400000065332</v>
      </c>
      <c r="O69">
        <v>-2116.7199999999998</v>
      </c>
      <c r="P69">
        <v>26111.51</v>
      </c>
      <c r="Q69">
        <v>26111.51</v>
      </c>
      <c r="R69">
        <v>0</v>
      </c>
      <c r="S69">
        <v>338738.73</v>
      </c>
      <c r="T69">
        <v>28228.23</v>
      </c>
      <c r="U69">
        <v>338738.76</v>
      </c>
      <c r="V69">
        <v>3.0000000027939677E-2</v>
      </c>
      <c r="W69" t="b">
        <v>1</v>
      </c>
      <c r="X69" t="b">
        <v>1</v>
      </c>
      <c r="Y69" t="b">
        <v>1</v>
      </c>
      <c r="Z69" t="b">
        <v>1</v>
      </c>
      <c r="AA69" t="b">
        <v>1</v>
      </c>
      <c r="AB69" t="s">
        <v>282</v>
      </c>
      <c r="AC69" t="s">
        <v>283</v>
      </c>
    </row>
    <row r="70" spans="1:29" x14ac:dyDescent="0.25">
      <c r="A70" t="s">
        <v>129</v>
      </c>
      <c r="B70" t="s">
        <v>67</v>
      </c>
      <c r="C70" t="s">
        <v>65</v>
      </c>
      <c r="D70" t="s">
        <v>81</v>
      </c>
      <c r="E70" t="s">
        <v>66</v>
      </c>
      <c r="F70">
        <v>105</v>
      </c>
      <c r="G70">
        <v>643.75</v>
      </c>
      <c r="H70">
        <v>67593.289999999994</v>
      </c>
      <c r="I70">
        <v>0.19339999999999999</v>
      </c>
      <c r="J70">
        <v>67593.75</v>
      </c>
      <c r="K70">
        <v>0.46000000000640284</v>
      </c>
      <c r="L70">
        <v>54519.85</v>
      </c>
      <c r="M70">
        <v>54520.7477</v>
      </c>
      <c r="N70">
        <v>0.89771399999881396</v>
      </c>
      <c r="O70">
        <v>-4223.3</v>
      </c>
      <c r="P70">
        <v>50296.55</v>
      </c>
      <c r="Q70">
        <v>50296.55</v>
      </c>
      <c r="R70">
        <v>7.2759576141834259E-12</v>
      </c>
      <c r="S70">
        <v>654238.17000000004</v>
      </c>
      <c r="T70">
        <v>54519.85</v>
      </c>
      <c r="U70">
        <v>654238.19999999995</v>
      </c>
      <c r="V70">
        <v>2.9999999911524355E-2</v>
      </c>
      <c r="W70" t="b">
        <v>1</v>
      </c>
      <c r="X70" t="b">
        <v>1</v>
      </c>
      <c r="Y70" t="b">
        <v>1</v>
      </c>
      <c r="Z70" t="b">
        <v>1</v>
      </c>
      <c r="AA70" t="b">
        <v>1</v>
      </c>
      <c r="AB70" t="s">
        <v>282</v>
      </c>
      <c r="AC70" t="s">
        <v>283</v>
      </c>
    </row>
    <row r="71" spans="1:29" x14ac:dyDescent="0.25">
      <c r="A71" t="s">
        <v>129</v>
      </c>
      <c r="B71" t="s">
        <v>61</v>
      </c>
      <c r="C71" t="s">
        <v>68</v>
      </c>
      <c r="D71" t="s">
        <v>81</v>
      </c>
      <c r="E71" t="s">
        <v>69</v>
      </c>
      <c r="F71">
        <v>198</v>
      </c>
      <c r="G71">
        <v>298.42</v>
      </c>
      <c r="H71">
        <v>59086.38</v>
      </c>
      <c r="I71">
        <v>0.1671</v>
      </c>
      <c r="J71">
        <v>59087.16</v>
      </c>
      <c r="K71">
        <v>0.7800000000061118</v>
      </c>
      <c r="L71">
        <v>49212.51</v>
      </c>
      <c r="M71">
        <v>49213.045899999997</v>
      </c>
      <c r="N71">
        <v>0.53590199999598553</v>
      </c>
      <c r="O71">
        <v>1170.6300000000001</v>
      </c>
      <c r="P71">
        <v>50383.14</v>
      </c>
      <c r="Q71">
        <v>50383.14</v>
      </c>
      <c r="R71">
        <v>0</v>
      </c>
      <c r="S71">
        <v>590550.06000000006</v>
      </c>
      <c r="T71">
        <v>49212.51</v>
      </c>
      <c r="U71">
        <v>590550.12</v>
      </c>
      <c r="V71">
        <v>5.9999999939464033E-2</v>
      </c>
      <c r="W71" t="b">
        <v>1</v>
      </c>
      <c r="X71" t="b">
        <v>1</v>
      </c>
      <c r="Y71" t="b">
        <v>1</v>
      </c>
      <c r="Z71" t="b">
        <v>1</v>
      </c>
      <c r="AA71" t="b">
        <v>1</v>
      </c>
      <c r="AB71" t="s">
        <v>282</v>
      </c>
      <c r="AC71" t="s">
        <v>283</v>
      </c>
    </row>
    <row r="72" spans="1:29" x14ac:dyDescent="0.25">
      <c r="A72" t="s">
        <v>129</v>
      </c>
      <c r="B72" t="s">
        <v>61</v>
      </c>
      <c r="C72" t="s">
        <v>65</v>
      </c>
      <c r="D72" t="s">
        <v>81</v>
      </c>
      <c r="E72" t="s">
        <v>66</v>
      </c>
      <c r="F72">
        <v>191</v>
      </c>
      <c r="G72">
        <v>549.02</v>
      </c>
      <c r="H72">
        <v>104862.16</v>
      </c>
      <c r="I72">
        <v>0.10970000000000001</v>
      </c>
      <c r="J72">
        <v>104862.81999999999</v>
      </c>
      <c r="K72">
        <v>0.65999999998894054</v>
      </c>
      <c r="L72">
        <v>93354.15</v>
      </c>
      <c r="M72">
        <v>93358.781000000003</v>
      </c>
      <c r="N72">
        <v>4.6310480000101961</v>
      </c>
      <c r="O72">
        <v>-2824.05</v>
      </c>
      <c r="P72">
        <v>90530.1</v>
      </c>
      <c r="Q72">
        <v>90530.1</v>
      </c>
      <c r="R72">
        <v>1.4551915228366852E-11</v>
      </c>
      <c r="S72">
        <v>1120249.77</v>
      </c>
      <c r="T72">
        <v>93354.15</v>
      </c>
      <c r="U72">
        <v>1120249.8</v>
      </c>
      <c r="V72">
        <v>2.9999999795109034E-2</v>
      </c>
      <c r="W72" t="b">
        <v>1</v>
      </c>
      <c r="X72" t="b">
        <v>1</v>
      </c>
      <c r="Y72" t="b">
        <v>1</v>
      </c>
      <c r="Z72" t="b">
        <v>1</v>
      </c>
      <c r="AA72" t="b">
        <v>1</v>
      </c>
      <c r="AB72" t="s">
        <v>282</v>
      </c>
      <c r="AC72" t="s">
        <v>283</v>
      </c>
    </row>
    <row r="73" spans="1:29" x14ac:dyDescent="0.25">
      <c r="A73" t="s">
        <v>129</v>
      </c>
      <c r="B73" t="s">
        <v>67</v>
      </c>
      <c r="C73" t="s">
        <v>62</v>
      </c>
      <c r="D73" t="s">
        <v>78</v>
      </c>
      <c r="E73" t="s">
        <v>69</v>
      </c>
      <c r="F73">
        <v>71</v>
      </c>
      <c r="G73">
        <v>353.88</v>
      </c>
      <c r="H73">
        <v>25125.52</v>
      </c>
      <c r="I73">
        <v>5.4600000000000003E-2</v>
      </c>
      <c r="J73">
        <v>25125.48</v>
      </c>
      <c r="K73">
        <v>4.0000000000873115E-2</v>
      </c>
      <c r="L73">
        <v>23753.8</v>
      </c>
      <c r="M73">
        <v>23753.6666</v>
      </c>
      <c r="N73">
        <v>0.13339199999973061</v>
      </c>
      <c r="O73">
        <v>2481.88</v>
      </c>
      <c r="P73">
        <v>26235.68</v>
      </c>
      <c r="Q73">
        <v>26235.68</v>
      </c>
      <c r="R73">
        <v>0</v>
      </c>
      <c r="S73">
        <v>285045.59999999998</v>
      </c>
      <c r="T73">
        <v>23753.8</v>
      </c>
      <c r="U73">
        <v>285045.59999999998</v>
      </c>
      <c r="V73">
        <v>0</v>
      </c>
      <c r="W73" t="b">
        <v>1</v>
      </c>
      <c r="X73" t="b">
        <v>1</v>
      </c>
      <c r="Y73" t="b">
        <v>1</v>
      </c>
      <c r="Z73" t="b">
        <v>1</v>
      </c>
      <c r="AA73" t="b">
        <v>1</v>
      </c>
      <c r="AB73" t="s">
        <v>282</v>
      </c>
      <c r="AC73" t="s">
        <v>283</v>
      </c>
    </row>
    <row r="74" spans="1:29" x14ac:dyDescent="0.25">
      <c r="A74" t="s">
        <v>130</v>
      </c>
      <c r="B74" t="s">
        <v>67</v>
      </c>
      <c r="C74" t="s">
        <v>68</v>
      </c>
      <c r="D74" t="s">
        <v>75</v>
      </c>
      <c r="E74" t="s">
        <v>66</v>
      </c>
      <c r="F74">
        <v>262</v>
      </c>
      <c r="G74">
        <v>1027.5999999999999</v>
      </c>
      <c r="H74">
        <v>269231.78000000003</v>
      </c>
      <c r="I74">
        <v>3.5499999999999997E-2</v>
      </c>
      <c r="J74">
        <v>269231.19999999995</v>
      </c>
      <c r="K74">
        <v>0.58000000007450581</v>
      </c>
      <c r="L74">
        <v>259677.76</v>
      </c>
      <c r="M74">
        <v>259674.05179999999</v>
      </c>
      <c r="N74">
        <v>3.7081899999757297</v>
      </c>
      <c r="O74">
        <v>11250.42</v>
      </c>
      <c r="P74">
        <v>270928.18</v>
      </c>
      <c r="Q74">
        <v>270928.18</v>
      </c>
      <c r="R74">
        <v>0</v>
      </c>
      <c r="S74">
        <v>3116133.08</v>
      </c>
      <c r="T74">
        <v>259677.76</v>
      </c>
      <c r="U74">
        <v>3116133.12</v>
      </c>
      <c r="V74">
        <v>4.0000000037252903E-2</v>
      </c>
      <c r="W74" t="b">
        <v>1</v>
      </c>
      <c r="X74" t="b">
        <v>1</v>
      </c>
      <c r="Y74" t="b">
        <v>1</v>
      </c>
      <c r="Z74" t="b">
        <v>1</v>
      </c>
      <c r="AA74" t="b">
        <v>1</v>
      </c>
      <c r="AB74" t="s">
        <v>282</v>
      </c>
      <c r="AC74" t="s">
        <v>283</v>
      </c>
    </row>
    <row r="75" spans="1:29" x14ac:dyDescent="0.25">
      <c r="A75" t="s">
        <v>130</v>
      </c>
      <c r="B75" t="s">
        <v>64</v>
      </c>
      <c r="C75" t="s">
        <v>62</v>
      </c>
      <c r="D75" t="s">
        <v>78</v>
      </c>
      <c r="E75" t="s">
        <v>63</v>
      </c>
      <c r="F75">
        <v>276</v>
      </c>
      <c r="G75">
        <v>815.6</v>
      </c>
      <c r="H75">
        <v>225105.3</v>
      </c>
      <c r="I75">
        <v>7.2300000000000003E-2</v>
      </c>
      <c r="J75">
        <v>225105.6</v>
      </c>
      <c r="K75">
        <v>0.3000000000174623</v>
      </c>
      <c r="L75">
        <v>208832.36</v>
      </c>
      <c r="M75">
        <v>208830.1868</v>
      </c>
      <c r="N75">
        <v>2.1731900000013411</v>
      </c>
      <c r="O75">
        <v>-8911.59</v>
      </c>
      <c r="P75">
        <v>199920.77</v>
      </c>
      <c r="Q75">
        <v>199920.77</v>
      </c>
      <c r="R75">
        <v>0</v>
      </c>
      <c r="S75">
        <v>2505988.29</v>
      </c>
      <c r="T75">
        <v>208832.36</v>
      </c>
      <c r="U75">
        <v>2505988.3199999998</v>
      </c>
      <c r="V75">
        <v>2.9999999795109034E-2</v>
      </c>
      <c r="W75" t="b">
        <v>1</v>
      </c>
      <c r="X75" t="b">
        <v>1</v>
      </c>
      <c r="Y75" t="b">
        <v>1</v>
      </c>
      <c r="Z75" t="b">
        <v>1</v>
      </c>
      <c r="AA75" t="b">
        <v>1</v>
      </c>
      <c r="AB75" t="s">
        <v>282</v>
      </c>
      <c r="AC75" t="s">
        <v>283</v>
      </c>
    </row>
    <row r="76" spans="1:29" x14ac:dyDescent="0.25">
      <c r="A76" t="s">
        <v>130</v>
      </c>
      <c r="B76" t="s">
        <v>64</v>
      </c>
      <c r="C76" t="s">
        <v>65</v>
      </c>
      <c r="D76" t="s">
        <v>81</v>
      </c>
      <c r="E76" t="s">
        <v>69</v>
      </c>
      <c r="F76">
        <v>87</v>
      </c>
      <c r="G76">
        <v>981.61</v>
      </c>
      <c r="H76">
        <v>85399.64</v>
      </c>
      <c r="I76">
        <v>0.1207</v>
      </c>
      <c r="J76">
        <v>85400.07</v>
      </c>
      <c r="K76">
        <v>0.430000000007567</v>
      </c>
      <c r="L76">
        <v>75088.08</v>
      </c>
      <c r="M76">
        <v>75091.9035</v>
      </c>
      <c r="N76">
        <v>3.8234519999969052</v>
      </c>
      <c r="O76">
        <v>10077.049999999999</v>
      </c>
      <c r="P76">
        <v>85165.13</v>
      </c>
      <c r="Q76">
        <v>85165.13</v>
      </c>
      <c r="R76">
        <v>0</v>
      </c>
      <c r="S76">
        <v>901056.94</v>
      </c>
      <c r="T76">
        <v>75088.08</v>
      </c>
      <c r="U76">
        <v>901056.96</v>
      </c>
      <c r="V76">
        <v>2.0000000018626451E-2</v>
      </c>
      <c r="W76" t="b">
        <v>1</v>
      </c>
      <c r="X76" t="b">
        <v>1</v>
      </c>
      <c r="Y76" t="b">
        <v>1</v>
      </c>
      <c r="Z76" t="b">
        <v>1</v>
      </c>
      <c r="AA76" t="b">
        <v>1</v>
      </c>
      <c r="AB76" t="s">
        <v>282</v>
      </c>
      <c r="AC76" t="s">
        <v>283</v>
      </c>
    </row>
    <row r="77" spans="1:29" x14ac:dyDescent="0.25">
      <c r="A77" t="s">
        <v>130</v>
      </c>
      <c r="B77" t="s">
        <v>64</v>
      </c>
      <c r="C77" t="s">
        <v>68</v>
      </c>
      <c r="D77" t="s">
        <v>81</v>
      </c>
      <c r="E77" t="s">
        <v>63</v>
      </c>
      <c r="F77">
        <v>58</v>
      </c>
      <c r="G77">
        <v>509.09</v>
      </c>
      <c r="H77">
        <v>29527.02</v>
      </c>
      <c r="I77">
        <v>3.4000000000000002E-2</v>
      </c>
      <c r="J77">
        <v>29527.219999999998</v>
      </c>
      <c r="K77">
        <v>0.19999999999708962</v>
      </c>
      <c r="L77">
        <v>28523.66</v>
      </c>
      <c r="M77">
        <v>28523.101299999998</v>
      </c>
      <c r="N77">
        <v>0.55867999999827589</v>
      </c>
      <c r="O77">
        <v>3515.07</v>
      </c>
      <c r="P77">
        <v>32038.73</v>
      </c>
      <c r="Q77">
        <v>32038.73</v>
      </c>
      <c r="R77">
        <v>0</v>
      </c>
      <c r="S77">
        <v>342283.98</v>
      </c>
      <c r="T77">
        <v>28523.66</v>
      </c>
      <c r="U77">
        <v>342283.92</v>
      </c>
      <c r="V77">
        <v>5.9999999997671694E-2</v>
      </c>
      <c r="W77" t="b">
        <v>1</v>
      </c>
      <c r="X77" t="b">
        <v>1</v>
      </c>
      <c r="Y77" t="b">
        <v>1</v>
      </c>
      <c r="Z77" t="b">
        <v>1</v>
      </c>
      <c r="AA77" t="b">
        <v>1</v>
      </c>
      <c r="AB77" t="s">
        <v>282</v>
      </c>
      <c r="AC77" t="s">
        <v>283</v>
      </c>
    </row>
    <row r="78" spans="1:29" x14ac:dyDescent="0.25">
      <c r="A78" t="s">
        <v>130</v>
      </c>
      <c r="B78" t="s">
        <v>67</v>
      </c>
      <c r="C78" t="s">
        <v>62</v>
      </c>
      <c r="D78" t="s">
        <v>78</v>
      </c>
      <c r="E78" t="s">
        <v>66</v>
      </c>
      <c r="F78">
        <v>196</v>
      </c>
      <c r="G78">
        <v>623.49</v>
      </c>
      <c r="H78">
        <v>122204.97</v>
      </c>
      <c r="I78">
        <v>9.4999999999999998E-3</v>
      </c>
      <c r="J78">
        <v>122204.04000000001</v>
      </c>
      <c r="K78">
        <v>0.92999999999301508</v>
      </c>
      <c r="L78">
        <v>121044.02</v>
      </c>
      <c r="M78">
        <v>121044.02280000001</v>
      </c>
      <c r="N78">
        <v>2.7850000042235479E-3</v>
      </c>
      <c r="O78">
        <v>10878.91</v>
      </c>
      <c r="P78">
        <v>131922.93</v>
      </c>
      <c r="Q78">
        <v>131922.93</v>
      </c>
      <c r="R78">
        <v>0</v>
      </c>
      <c r="S78">
        <v>1452528.29</v>
      </c>
      <c r="T78">
        <v>121044.02</v>
      </c>
      <c r="U78">
        <v>1452528.24</v>
      </c>
      <c r="V78">
        <v>5.0000000046566129E-2</v>
      </c>
      <c r="W78" t="b">
        <v>1</v>
      </c>
      <c r="X78" t="b">
        <v>1</v>
      </c>
      <c r="Y78" t="b">
        <v>1</v>
      </c>
      <c r="Z78" t="b">
        <v>1</v>
      </c>
      <c r="AA78" t="b">
        <v>1</v>
      </c>
      <c r="AB78" t="s">
        <v>282</v>
      </c>
      <c r="AC78" t="s">
        <v>283</v>
      </c>
    </row>
    <row r="79" spans="1:29" x14ac:dyDescent="0.25">
      <c r="A79" t="s">
        <v>130</v>
      </c>
      <c r="B79" t="s">
        <v>61</v>
      </c>
      <c r="C79" t="s">
        <v>68</v>
      </c>
      <c r="D79" t="s">
        <v>81</v>
      </c>
      <c r="E79" t="s">
        <v>69</v>
      </c>
      <c r="F79">
        <v>276</v>
      </c>
      <c r="G79">
        <v>956.39</v>
      </c>
      <c r="H79">
        <v>263964.09000000003</v>
      </c>
      <c r="I79">
        <v>0.21690000000000001</v>
      </c>
      <c r="J79">
        <v>263963.64</v>
      </c>
      <c r="K79">
        <v>0.45000000001164153</v>
      </c>
      <c r="L79">
        <v>206709.81</v>
      </c>
      <c r="M79">
        <v>206710.2789</v>
      </c>
      <c r="N79">
        <v>0.46887900002184324</v>
      </c>
      <c r="O79">
        <v>-5660.85</v>
      </c>
      <c r="P79">
        <v>201048.95999999999</v>
      </c>
      <c r="Q79">
        <v>201048.95999999999</v>
      </c>
      <c r="R79">
        <v>0</v>
      </c>
      <c r="S79">
        <v>2480517.7200000002</v>
      </c>
      <c r="T79">
        <v>206709.81</v>
      </c>
      <c r="U79">
        <v>2480517.7200000002</v>
      </c>
      <c r="V79">
        <v>4.6566128730773926E-10</v>
      </c>
      <c r="W79" t="b">
        <v>1</v>
      </c>
      <c r="X79" t="b">
        <v>1</v>
      </c>
      <c r="Y79" t="b">
        <v>1</v>
      </c>
      <c r="Z79" t="b">
        <v>1</v>
      </c>
      <c r="AA79" t="b">
        <v>1</v>
      </c>
      <c r="AB79" t="s">
        <v>282</v>
      </c>
      <c r="AC79" t="s">
        <v>283</v>
      </c>
    </row>
    <row r="80" spans="1:29" x14ac:dyDescent="0.25">
      <c r="A80" t="s">
        <v>130</v>
      </c>
      <c r="B80" t="s">
        <v>61</v>
      </c>
      <c r="C80" t="s">
        <v>62</v>
      </c>
      <c r="D80" t="s">
        <v>75</v>
      </c>
      <c r="E80" t="s">
        <v>69</v>
      </c>
      <c r="F80">
        <v>293</v>
      </c>
      <c r="G80">
        <v>1146.54</v>
      </c>
      <c r="H80">
        <v>335937.07</v>
      </c>
      <c r="I80">
        <v>0.21149999999999999</v>
      </c>
      <c r="J80">
        <v>335936.22</v>
      </c>
      <c r="K80">
        <v>0.8500000000349246</v>
      </c>
      <c r="L80">
        <v>264875.77</v>
      </c>
      <c r="M80">
        <v>264886.37969999999</v>
      </c>
      <c r="N80">
        <v>10.609694999991916</v>
      </c>
      <c r="O80">
        <v>17996.810000000001</v>
      </c>
      <c r="P80">
        <v>282872.58</v>
      </c>
      <c r="Q80">
        <v>282872.58</v>
      </c>
      <c r="R80">
        <v>0</v>
      </c>
      <c r="S80">
        <v>3178509.25</v>
      </c>
      <c r="T80">
        <v>264875.77</v>
      </c>
      <c r="U80">
        <v>3178509.24</v>
      </c>
      <c r="V80">
        <v>9.9999997764825821E-3</v>
      </c>
      <c r="W80" t="b">
        <v>1</v>
      </c>
      <c r="X80" t="b">
        <v>1</v>
      </c>
      <c r="Y80" t="b">
        <v>1</v>
      </c>
      <c r="Z80" t="b">
        <v>1</v>
      </c>
      <c r="AA80" t="b">
        <v>1</v>
      </c>
      <c r="AB80" t="s">
        <v>282</v>
      </c>
      <c r="AC80" t="s">
        <v>283</v>
      </c>
    </row>
    <row r="81" spans="1:29" x14ac:dyDescent="0.25">
      <c r="A81" t="s">
        <v>130</v>
      </c>
      <c r="B81" t="s">
        <v>61</v>
      </c>
      <c r="C81" t="s">
        <v>65</v>
      </c>
      <c r="D81" t="s">
        <v>78</v>
      </c>
      <c r="E81" t="s">
        <v>69</v>
      </c>
      <c r="F81">
        <v>246</v>
      </c>
      <c r="G81">
        <v>901.22</v>
      </c>
      <c r="H81">
        <v>221700.79</v>
      </c>
      <c r="I81">
        <v>0.1973</v>
      </c>
      <c r="J81">
        <v>221700.12</v>
      </c>
      <c r="K81">
        <v>0.67000000001280569</v>
      </c>
      <c r="L81">
        <v>177954.1</v>
      </c>
      <c r="M81">
        <v>177959.22409999999</v>
      </c>
      <c r="N81">
        <v>5.1241330000048038</v>
      </c>
      <c r="O81">
        <v>5696.67</v>
      </c>
      <c r="P81">
        <v>183650.77</v>
      </c>
      <c r="Q81">
        <v>183650.77</v>
      </c>
      <c r="R81">
        <v>2.9103830456733704E-11</v>
      </c>
      <c r="S81">
        <v>2135449.17</v>
      </c>
      <c r="T81">
        <v>177954.1</v>
      </c>
      <c r="U81">
        <v>2135449.2000000002</v>
      </c>
      <c r="V81">
        <v>3.0000000260770321E-2</v>
      </c>
      <c r="W81" t="b">
        <v>1</v>
      </c>
      <c r="X81" t="b">
        <v>1</v>
      </c>
      <c r="Y81" t="b">
        <v>1</v>
      </c>
      <c r="Z81" t="b">
        <v>1</v>
      </c>
      <c r="AA81" t="b">
        <v>1</v>
      </c>
      <c r="AB81" t="s">
        <v>282</v>
      </c>
      <c r="AC81" t="s">
        <v>283</v>
      </c>
    </row>
    <row r="82" spans="1:29" x14ac:dyDescent="0.25">
      <c r="A82" t="s">
        <v>130</v>
      </c>
      <c r="B82" t="s">
        <v>67</v>
      </c>
      <c r="C82" t="s">
        <v>65</v>
      </c>
      <c r="D82" t="s">
        <v>75</v>
      </c>
      <c r="E82" t="s">
        <v>63</v>
      </c>
      <c r="F82">
        <v>290</v>
      </c>
      <c r="G82">
        <v>975.53</v>
      </c>
      <c r="H82">
        <v>282904.02</v>
      </c>
      <c r="I82">
        <v>0.20300000000000001</v>
      </c>
      <c r="J82">
        <v>282903.7</v>
      </c>
      <c r="K82">
        <v>0.32000000000698492</v>
      </c>
      <c r="L82">
        <v>225471.49</v>
      </c>
      <c r="M82">
        <v>225474.50390000001</v>
      </c>
      <c r="N82">
        <v>3.0139400000334717</v>
      </c>
      <c r="O82">
        <v>2086.41</v>
      </c>
      <c r="P82">
        <v>227557.9</v>
      </c>
      <c r="Q82">
        <v>227557.9</v>
      </c>
      <c r="R82">
        <v>0</v>
      </c>
      <c r="S82">
        <v>2705657.85</v>
      </c>
      <c r="T82">
        <v>225471.49</v>
      </c>
      <c r="U82">
        <v>2705657.88</v>
      </c>
      <c r="V82">
        <v>2.9999999795109034E-2</v>
      </c>
      <c r="W82" t="b">
        <v>1</v>
      </c>
      <c r="X82" t="b">
        <v>1</v>
      </c>
      <c r="Y82" t="b">
        <v>1</v>
      </c>
      <c r="Z82" t="b">
        <v>1</v>
      </c>
      <c r="AA82" t="b">
        <v>1</v>
      </c>
      <c r="AB82" t="s">
        <v>282</v>
      </c>
      <c r="AC82" t="s">
        <v>283</v>
      </c>
    </row>
    <row r="83" spans="1:29" x14ac:dyDescent="0.25">
      <c r="A83" t="s">
        <v>131</v>
      </c>
      <c r="B83" t="s">
        <v>64</v>
      </c>
      <c r="C83" t="s">
        <v>62</v>
      </c>
      <c r="D83" t="s">
        <v>78</v>
      </c>
      <c r="E83" t="s">
        <v>66</v>
      </c>
      <c r="F83">
        <v>130</v>
      </c>
      <c r="G83">
        <v>286.16000000000003</v>
      </c>
      <c r="H83">
        <v>37200.379999999997</v>
      </c>
      <c r="I83">
        <v>0.1157</v>
      </c>
      <c r="J83">
        <v>37200.800000000003</v>
      </c>
      <c r="K83">
        <v>0.42000000000552973</v>
      </c>
      <c r="L83">
        <v>32897.43</v>
      </c>
      <c r="M83">
        <v>32896.296000000002</v>
      </c>
      <c r="N83">
        <v>1.1339660000012373</v>
      </c>
      <c r="O83">
        <v>-364.23</v>
      </c>
      <c r="P83">
        <v>32533.200000000001</v>
      </c>
      <c r="Q83">
        <v>32533.200000000001</v>
      </c>
      <c r="R83">
        <v>0</v>
      </c>
      <c r="S83">
        <v>394769.19</v>
      </c>
      <c r="T83">
        <v>32897.43</v>
      </c>
      <c r="U83">
        <v>394769.16</v>
      </c>
      <c r="V83">
        <v>2.9999999969732016E-2</v>
      </c>
      <c r="W83" t="b">
        <v>1</v>
      </c>
      <c r="X83" t="b">
        <v>1</v>
      </c>
      <c r="Y83" t="b">
        <v>1</v>
      </c>
      <c r="Z83" t="b">
        <v>1</v>
      </c>
      <c r="AA83" t="b">
        <v>1</v>
      </c>
      <c r="AB83" t="s">
        <v>282</v>
      </c>
      <c r="AC83" t="s">
        <v>283</v>
      </c>
    </row>
    <row r="84" spans="1:29" x14ac:dyDescent="0.25">
      <c r="A84" t="s">
        <v>131</v>
      </c>
      <c r="B84" t="s">
        <v>64</v>
      </c>
      <c r="C84" t="s">
        <v>65</v>
      </c>
      <c r="D84" t="s">
        <v>75</v>
      </c>
      <c r="E84" t="s">
        <v>69</v>
      </c>
      <c r="F84">
        <v>267</v>
      </c>
      <c r="G84">
        <v>926.84</v>
      </c>
      <c r="H84">
        <v>247467.02</v>
      </c>
      <c r="I84">
        <v>0.12870000000000001</v>
      </c>
      <c r="J84">
        <v>247466.28</v>
      </c>
      <c r="K84">
        <v>0.73999999999068677</v>
      </c>
      <c r="L84">
        <v>215626.27</v>
      </c>
      <c r="M84">
        <v>215618.01449999999</v>
      </c>
      <c r="N84">
        <v>8.2554740000050515</v>
      </c>
      <c r="O84">
        <v>3475.67</v>
      </c>
      <c r="P84">
        <v>219101.94</v>
      </c>
      <c r="Q84">
        <v>219101.94</v>
      </c>
      <c r="R84">
        <v>0</v>
      </c>
      <c r="S84">
        <v>2587515.2200000002</v>
      </c>
      <c r="T84">
        <v>215626.27</v>
      </c>
      <c r="U84">
        <v>2587515.2400000002</v>
      </c>
      <c r="V84">
        <v>1.9999999552965164E-2</v>
      </c>
      <c r="W84" t="b">
        <v>1</v>
      </c>
      <c r="X84" t="b">
        <v>1</v>
      </c>
      <c r="Y84" t="b">
        <v>1</v>
      </c>
      <c r="Z84" t="b">
        <v>1</v>
      </c>
      <c r="AA84" t="b">
        <v>1</v>
      </c>
      <c r="AB84" t="s">
        <v>282</v>
      </c>
      <c r="AC84" t="s">
        <v>283</v>
      </c>
    </row>
    <row r="85" spans="1:29" x14ac:dyDescent="0.25">
      <c r="A85" t="s">
        <v>131</v>
      </c>
      <c r="B85" t="s">
        <v>67</v>
      </c>
      <c r="C85" t="s">
        <v>68</v>
      </c>
      <c r="D85" t="s">
        <v>75</v>
      </c>
      <c r="E85" t="s">
        <v>69</v>
      </c>
      <c r="F85">
        <v>110</v>
      </c>
      <c r="G85">
        <v>399.94</v>
      </c>
      <c r="H85">
        <v>43993.84</v>
      </c>
      <c r="I85">
        <v>1.9900000000000001E-2</v>
      </c>
      <c r="J85">
        <v>43993.4</v>
      </c>
      <c r="K85">
        <v>0.43999999999505235</v>
      </c>
      <c r="L85">
        <v>43118.29</v>
      </c>
      <c r="M85">
        <v>43118.3626</v>
      </c>
      <c r="N85">
        <v>7.2583999994094484E-2</v>
      </c>
      <c r="O85">
        <v>3983.83</v>
      </c>
      <c r="P85">
        <v>47102.12</v>
      </c>
      <c r="Q85">
        <v>47102.12</v>
      </c>
      <c r="R85">
        <v>0</v>
      </c>
      <c r="S85">
        <v>517419.54</v>
      </c>
      <c r="T85">
        <v>43118.29</v>
      </c>
      <c r="U85">
        <v>517419.48</v>
      </c>
      <c r="V85">
        <v>5.9999999997671694E-2</v>
      </c>
      <c r="W85" t="b">
        <v>1</v>
      </c>
      <c r="X85" t="b">
        <v>1</v>
      </c>
      <c r="Y85" t="b">
        <v>1</v>
      </c>
      <c r="Z85" t="b">
        <v>1</v>
      </c>
      <c r="AA85" t="b">
        <v>1</v>
      </c>
      <c r="AB85" t="s">
        <v>282</v>
      </c>
      <c r="AC85" t="s">
        <v>283</v>
      </c>
    </row>
    <row r="86" spans="1:29" x14ac:dyDescent="0.25">
      <c r="A86" t="s">
        <v>131</v>
      </c>
      <c r="B86" t="s">
        <v>67</v>
      </c>
      <c r="C86" t="s">
        <v>62</v>
      </c>
      <c r="D86" t="s">
        <v>75</v>
      </c>
      <c r="E86" t="s">
        <v>69</v>
      </c>
      <c r="F86">
        <v>177</v>
      </c>
      <c r="G86">
        <v>996.89</v>
      </c>
      <c r="H86">
        <v>176450.16</v>
      </c>
      <c r="I86">
        <v>0.1772</v>
      </c>
      <c r="J86">
        <v>176449.53</v>
      </c>
      <c r="K86">
        <v>0.63000000000465661</v>
      </c>
      <c r="L86">
        <v>145185.34</v>
      </c>
      <c r="M86">
        <v>145183.19159999999</v>
      </c>
      <c r="N86">
        <v>2.1483519999892451</v>
      </c>
      <c r="O86">
        <v>560.16</v>
      </c>
      <c r="P86">
        <v>145745.5</v>
      </c>
      <c r="Q86">
        <v>145745.5</v>
      </c>
      <c r="R86">
        <v>0</v>
      </c>
      <c r="S86">
        <v>1742224.06</v>
      </c>
      <c r="T86">
        <v>145185.34</v>
      </c>
      <c r="U86">
        <v>1742224.08</v>
      </c>
      <c r="V86">
        <v>2.0000000018626451E-2</v>
      </c>
      <c r="W86" t="b">
        <v>1</v>
      </c>
      <c r="X86" t="b">
        <v>1</v>
      </c>
      <c r="Y86" t="b">
        <v>1</v>
      </c>
      <c r="Z86" t="b">
        <v>1</v>
      </c>
      <c r="AA86" t="b">
        <v>1</v>
      </c>
      <c r="AB86" t="s">
        <v>282</v>
      </c>
      <c r="AC86" t="s">
        <v>283</v>
      </c>
    </row>
    <row r="87" spans="1:29" x14ac:dyDescent="0.25">
      <c r="A87" t="s">
        <v>131</v>
      </c>
      <c r="B87" t="s">
        <v>64</v>
      </c>
      <c r="C87" t="s">
        <v>68</v>
      </c>
      <c r="D87" t="s">
        <v>78</v>
      </c>
      <c r="E87" t="s">
        <v>66</v>
      </c>
      <c r="F87">
        <v>76</v>
      </c>
      <c r="G87">
        <v>813.39</v>
      </c>
      <c r="H87">
        <v>61817.59</v>
      </c>
      <c r="I87">
        <v>1.2699999999999999E-2</v>
      </c>
      <c r="J87">
        <v>61817.64</v>
      </c>
      <c r="K87">
        <v>5.0000000002910383E-2</v>
      </c>
      <c r="L87">
        <v>61035.34</v>
      </c>
      <c r="M87">
        <v>61032.506600000001</v>
      </c>
      <c r="N87">
        <v>2.8333930000007967</v>
      </c>
      <c r="O87">
        <v>6127.85</v>
      </c>
      <c r="P87">
        <v>67163.19</v>
      </c>
      <c r="Q87">
        <v>67163.19</v>
      </c>
      <c r="R87">
        <v>0</v>
      </c>
      <c r="S87">
        <v>732424.1</v>
      </c>
      <c r="T87">
        <v>61035.34</v>
      </c>
      <c r="U87">
        <v>732424.08</v>
      </c>
      <c r="V87">
        <v>2.0000000018626451E-2</v>
      </c>
      <c r="W87" t="b">
        <v>1</v>
      </c>
      <c r="X87" t="b">
        <v>1</v>
      </c>
      <c r="Y87" t="b">
        <v>1</v>
      </c>
      <c r="Z87" t="b">
        <v>1</v>
      </c>
      <c r="AA87" t="b">
        <v>1</v>
      </c>
      <c r="AB87" t="s">
        <v>282</v>
      </c>
      <c r="AC87" t="s">
        <v>283</v>
      </c>
    </row>
    <row r="88" spans="1:29" x14ac:dyDescent="0.25">
      <c r="A88" t="s">
        <v>131</v>
      </c>
      <c r="B88" t="s">
        <v>61</v>
      </c>
      <c r="C88" t="s">
        <v>68</v>
      </c>
      <c r="D88" t="s">
        <v>75</v>
      </c>
      <c r="E88" t="s">
        <v>63</v>
      </c>
      <c r="F88">
        <v>67</v>
      </c>
      <c r="G88">
        <v>730.62</v>
      </c>
      <c r="H88">
        <v>48951.82</v>
      </c>
      <c r="I88">
        <v>9.4600000000000004E-2</v>
      </c>
      <c r="J88">
        <v>48951.54</v>
      </c>
      <c r="K88">
        <v>0.27999999999883585</v>
      </c>
      <c r="L88">
        <v>44319.81</v>
      </c>
      <c r="M88">
        <v>44320.977800000001</v>
      </c>
      <c r="N88">
        <v>1.1678280000051018</v>
      </c>
      <c r="O88">
        <v>6178.61</v>
      </c>
      <c r="P88">
        <v>50498.42</v>
      </c>
      <c r="Q88">
        <v>50498.42</v>
      </c>
      <c r="R88">
        <v>0</v>
      </c>
      <c r="S88">
        <v>531837.76</v>
      </c>
      <c r="T88">
        <v>44319.81</v>
      </c>
      <c r="U88">
        <v>531837.72</v>
      </c>
      <c r="V88">
        <v>4.0000000037252903E-2</v>
      </c>
      <c r="W88" t="b">
        <v>1</v>
      </c>
      <c r="X88" t="b">
        <v>1</v>
      </c>
      <c r="Y88" t="b">
        <v>1</v>
      </c>
      <c r="Z88" t="b">
        <v>1</v>
      </c>
      <c r="AA88" t="b">
        <v>1</v>
      </c>
      <c r="AB88" t="s">
        <v>282</v>
      </c>
      <c r="AC88" t="s">
        <v>283</v>
      </c>
    </row>
    <row r="89" spans="1:29" x14ac:dyDescent="0.25">
      <c r="A89" t="s">
        <v>131</v>
      </c>
      <c r="B89" t="s">
        <v>61</v>
      </c>
      <c r="C89" t="s">
        <v>62</v>
      </c>
      <c r="D89" t="s">
        <v>75</v>
      </c>
      <c r="E89" t="s">
        <v>69</v>
      </c>
      <c r="F89">
        <v>195</v>
      </c>
      <c r="G89">
        <v>942.55</v>
      </c>
      <c r="H89">
        <v>183796.73</v>
      </c>
      <c r="I89">
        <v>0.2266</v>
      </c>
      <c r="J89">
        <v>183797.25</v>
      </c>
      <c r="K89">
        <v>0.51999999998952262</v>
      </c>
      <c r="L89">
        <v>142145.82</v>
      </c>
      <c r="M89">
        <v>142148.391</v>
      </c>
      <c r="N89">
        <v>2.570982000004733</v>
      </c>
      <c r="O89">
        <v>-1561.92</v>
      </c>
      <c r="P89">
        <v>140583.9</v>
      </c>
      <c r="Q89">
        <v>140583.9</v>
      </c>
      <c r="R89">
        <v>0</v>
      </c>
      <c r="S89">
        <v>1705749.79</v>
      </c>
      <c r="T89">
        <v>142145.82</v>
      </c>
      <c r="U89">
        <v>1705749.84</v>
      </c>
      <c r="V89">
        <v>5.0000000046566129E-2</v>
      </c>
      <c r="W89" t="b">
        <v>1</v>
      </c>
      <c r="X89" t="b">
        <v>1</v>
      </c>
      <c r="Y89" t="b">
        <v>1</v>
      </c>
      <c r="Z89" t="b">
        <v>1</v>
      </c>
      <c r="AA89" t="b">
        <v>1</v>
      </c>
      <c r="AB89" t="s">
        <v>282</v>
      </c>
      <c r="AC89" t="s">
        <v>283</v>
      </c>
    </row>
    <row r="90" spans="1:29" x14ac:dyDescent="0.25">
      <c r="A90" t="s">
        <v>131</v>
      </c>
      <c r="B90" t="s">
        <v>61</v>
      </c>
      <c r="C90" t="s">
        <v>65</v>
      </c>
      <c r="D90" t="s">
        <v>81</v>
      </c>
      <c r="E90" t="s">
        <v>66</v>
      </c>
      <c r="F90">
        <v>171</v>
      </c>
      <c r="G90">
        <v>474.9</v>
      </c>
      <c r="H90">
        <v>81208.19</v>
      </c>
      <c r="I90">
        <v>0.1711</v>
      </c>
      <c r="J90">
        <v>81207.899999999994</v>
      </c>
      <c r="K90">
        <v>0.29000000000814907</v>
      </c>
      <c r="L90">
        <v>67312.649999999994</v>
      </c>
      <c r="M90">
        <v>67313.468699999998</v>
      </c>
      <c r="N90">
        <v>0.81869100000767503</v>
      </c>
      <c r="O90">
        <v>4426.57</v>
      </c>
      <c r="P90">
        <v>71739.22</v>
      </c>
      <c r="Q90">
        <v>71739.22</v>
      </c>
      <c r="R90">
        <v>0</v>
      </c>
      <c r="S90">
        <v>807751.75</v>
      </c>
      <c r="T90">
        <v>67312.649999999994</v>
      </c>
      <c r="U90">
        <v>807751.8</v>
      </c>
      <c r="V90">
        <v>4.9999999930150807E-2</v>
      </c>
      <c r="W90" t="b">
        <v>1</v>
      </c>
      <c r="X90" t="b">
        <v>1</v>
      </c>
      <c r="Y90" t="b">
        <v>1</v>
      </c>
      <c r="Z90" t="b">
        <v>1</v>
      </c>
      <c r="AA90" t="b">
        <v>1</v>
      </c>
      <c r="AB90" t="s">
        <v>282</v>
      </c>
      <c r="AC90" t="s">
        <v>283</v>
      </c>
    </row>
    <row r="91" spans="1:29" x14ac:dyDescent="0.25">
      <c r="A91" t="s">
        <v>131</v>
      </c>
      <c r="B91" t="s">
        <v>67</v>
      </c>
      <c r="C91" t="s">
        <v>65</v>
      </c>
      <c r="D91" t="s">
        <v>78</v>
      </c>
      <c r="E91" t="s">
        <v>66</v>
      </c>
      <c r="F91">
        <v>149</v>
      </c>
      <c r="G91">
        <v>210.37</v>
      </c>
      <c r="H91">
        <v>31345.360000000001</v>
      </c>
      <c r="I91">
        <v>0.21679999999999999</v>
      </c>
      <c r="J91">
        <v>31345.13</v>
      </c>
      <c r="K91">
        <v>0.22999999999956344</v>
      </c>
      <c r="L91">
        <v>24549.360000000001</v>
      </c>
      <c r="M91">
        <v>24549.686000000002</v>
      </c>
      <c r="N91">
        <v>0.32595199999923352</v>
      </c>
      <c r="O91">
        <v>-1481.98</v>
      </c>
      <c r="P91">
        <v>23067.38</v>
      </c>
      <c r="Q91">
        <v>23067.38</v>
      </c>
      <c r="R91">
        <v>0</v>
      </c>
      <c r="S91">
        <v>294592.36</v>
      </c>
      <c r="T91">
        <v>24549.360000000001</v>
      </c>
      <c r="U91">
        <v>294592.32</v>
      </c>
      <c r="V91">
        <v>3.9999999979045242E-2</v>
      </c>
      <c r="W91" t="b">
        <v>1</v>
      </c>
      <c r="X91" t="b">
        <v>1</v>
      </c>
      <c r="Y91" t="b">
        <v>1</v>
      </c>
      <c r="Z91" t="b">
        <v>1</v>
      </c>
      <c r="AA91" t="b">
        <v>1</v>
      </c>
      <c r="AB91" t="s">
        <v>282</v>
      </c>
      <c r="AC91" t="s">
        <v>283</v>
      </c>
    </row>
    <row r="92" spans="1:29" x14ac:dyDescent="0.25">
      <c r="A92" t="s">
        <v>132</v>
      </c>
      <c r="B92" t="s">
        <v>64</v>
      </c>
      <c r="C92" t="s">
        <v>68</v>
      </c>
      <c r="D92" t="s">
        <v>75</v>
      </c>
      <c r="E92" t="s">
        <v>69</v>
      </c>
      <c r="F92">
        <v>257</v>
      </c>
      <c r="G92">
        <v>275.26</v>
      </c>
      <c r="H92">
        <v>70741.100000000006</v>
      </c>
      <c r="I92">
        <v>3.7900000000000003E-2</v>
      </c>
      <c r="J92">
        <v>70741.819999999992</v>
      </c>
      <c r="K92">
        <v>0.71999999998661224</v>
      </c>
      <c r="L92">
        <v>68056.73</v>
      </c>
      <c r="M92">
        <v>68060.012300000002</v>
      </c>
      <c r="N92">
        <v>3.2823100000096019</v>
      </c>
      <c r="O92">
        <v>3686.16</v>
      </c>
      <c r="P92">
        <v>71742.89</v>
      </c>
      <c r="Q92">
        <v>71742.89</v>
      </c>
      <c r="R92">
        <v>0</v>
      </c>
      <c r="S92">
        <v>816680.77</v>
      </c>
      <c r="T92">
        <v>68056.73</v>
      </c>
      <c r="U92">
        <v>816680.76</v>
      </c>
      <c r="V92">
        <v>1.0000000009313226E-2</v>
      </c>
      <c r="W92" t="b">
        <v>1</v>
      </c>
      <c r="X92" t="b">
        <v>1</v>
      </c>
      <c r="Y92" t="b">
        <v>1</v>
      </c>
      <c r="Z92" t="b">
        <v>1</v>
      </c>
      <c r="AA92" t="b">
        <v>1</v>
      </c>
      <c r="AB92" t="s">
        <v>282</v>
      </c>
      <c r="AC92" t="s">
        <v>283</v>
      </c>
    </row>
    <row r="93" spans="1:29" x14ac:dyDescent="0.25">
      <c r="A93" t="s">
        <v>132</v>
      </c>
      <c r="B93" t="s">
        <v>64</v>
      </c>
      <c r="C93" t="s">
        <v>62</v>
      </c>
      <c r="D93" t="s">
        <v>75</v>
      </c>
      <c r="E93" t="s">
        <v>63</v>
      </c>
      <c r="F93">
        <v>214</v>
      </c>
      <c r="G93">
        <v>889.46</v>
      </c>
      <c r="H93">
        <v>190344.16</v>
      </c>
      <c r="I93">
        <v>2.1100000000000001E-2</v>
      </c>
      <c r="J93">
        <v>190344.44</v>
      </c>
      <c r="K93">
        <v>0.27999999999883585</v>
      </c>
      <c r="L93">
        <v>186330.66</v>
      </c>
      <c r="M93">
        <v>186327.8982</v>
      </c>
      <c r="N93">
        <v>2.7617759999993723</v>
      </c>
      <c r="O93">
        <v>14635.88</v>
      </c>
      <c r="P93">
        <v>200966.54</v>
      </c>
      <c r="Q93">
        <v>200966.54</v>
      </c>
      <c r="R93">
        <v>0</v>
      </c>
      <c r="S93">
        <v>2235967.9500000002</v>
      </c>
      <c r="T93">
        <v>186330.66</v>
      </c>
      <c r="U93">
        <v>2235967.92</v>
      </c>
      <c r="V93">
        <v>3.0000000260770321E-2</v>
      </c>
      <c r="W93" t="b">
        <v>1</v>
      </c>
      <c r="X93" t="b">
        <v>1</v>
      </c>
      <c r="Y93" t="b">
        <v>1</v>
      </c>
      <c r="Z93" t="b">
        <v>1</v>
      </c>
      <c r="AA93" t="b">
        <v>1</v>
      </c>
      <c r="AB93" t="s">
        <v>282</v>
      </c>
      <c r="AC93" t="s">
        <v>283</v>
      </c>
    </row>
    <row r="94" spans="1:29" x14ac:dyDescent="0.25">
      <c r="A94" t="s">
        <v>132</v>
      </c>
      <c r="B94" t="s">
        <v>64</v>
      </c>
      <c r="C94" t="s">
        <v>65</v>
      </c>
      <c r="D94" t="s">
        <v>81</v>
      </c>
      <c r="E94" t="s">
        <v>69</v>
      </c>
      <c r="F94">
        <v>209</v>
      </c>
      <c r="G94">
        <v>245</v>
      </c>
      <c r="H94">
        <v>51205.52</v>
      </c>
      <c r="I94">
        <v>9.6699999999999994E-2</v>
      </c>
      <c r="J94">
        <v>51205</v>
      </c>
      <c r="K94">
        <v>0.51999999999679858</v>
      </c>
      <c r="L94">
        <v>46251.519999999997</v>
      </c>
      <c r="M94">
        <v>46253.946199999998</v>
      </c>
      <c r="N94">
        <v>2.4262159999998403</v>
      </c>
      <c r="O94">
        <v>-1623.53</v>
      </c>
      <c r="P94">
        <v>44627.98</v>
      </c>
      <c r="Q94">
        <v>44627.99</v>
      </c>
      <c r="R94">
        <v>9.9999999947613105E-3</v>
      </c>
      <c r="S94">
        <v>555018.18000000005</v>
      </c>
      <c r="T94">
        <v>46251.519999999997</v>
      </c>
      <c r="U94">
        <v>555018.23999999999</v>
      </c>
      <c r="V94">
        <v>5.9999999939464033E-2</v>
      </c>
      <c r="W94" t="b">
        <v>1</v>
      </c>
      <c r="X94" t="b">
        <v>1</v>
      </c>
      <c r="Y94" t="b">
        <v>1</v>
      </c>
      <c r="Z94" t="b">
        <v>1</v>
      </c>
      <c r="AA94" t="b">
        <v>1</v>
      </c>
      <c r="AB94" t="s">
        <v>282</v>
      </c>
      <c r="AC94" t="s">
        <v>283</v>
      </c>
    </row>
    <row r="95" spans="1:29" x14ac:dyDescent="0.25">
      <c r="A95" t="s">
        <v>132</v>
      </c>
      <c r="B95" t="s">
        <v>67</v>
      </c>
      <c r="C95" t="s">
        <v>68</v>
      </c>
      <c r="D95" t="s">
        <v>81</v>
      </c>
      <c r="E95" t="s">
        <v>66</v>
      </c>
      <c r="F95">
        <v>52</v>
      </c>
      <c r="G95">
        <v>1175.1500000000001</v>
      </c>
      <c r="H95">
        <v>61107.86</v>
      </c>
      <c r="I95">
        <v>0.1298</v>
      </c>
      <c r="J95">
        <v>61107.8</v>
      </c>
      <c r="K95">
        <v>5.9999999997671694E-2</v>
      </c>
      <c r="L95">
        <v>53176.11</v>
      </c>
      <c r="M95">
        <v>53176.059800000003</v>
      </c>
      <c r="N95">
        <v>5.0228000000061002E-2</v>
      </c>
      <c r="O95">
        <v>1437.43</v>
      </c>
      <c r="P95">
        <v>54613.54</v>
      </c>
      <c r="Q95">
        <v>54613.54</v>
      </c>
      <c r="R95">
        <v>0</v>
      </c>
      <c r="S95">
        <v>638113.34</v>
      </c>
      <c r="T95">
        <v>53176.11</v>
      </c>
      <c r="U95">
        <v>638113.31999999995</v>
      </c>
      <c r="V95">
        <v>1.999999990221113E-2</v>
      </c>
      <c r="W95" t="b">
        <v>1</v>
      </c>
      <c r="X95" t="b">
        <v>1</v>
      </c>
      <c r="Y95" t="b">
        <v>1</v>
      </c>
      <c r="Z95" t="b">
        <v>1</v>
      </c>
      <c r="AA95" t="b">
        <v>1</v>
      </c>
      <c r="AB95" t="s">
        <v>282</v>
      </c>
      <c r="AC95" t="s">
        <v>283</v>
      </c>
    </row>
    <row r="96" spans="1:29" x14ac:dyDescent="0.25">
      <c r="A96" t="s">
        <v>132</v>
      </c>
      <c r="B96" t="s">
        <v>67</v>
      </c>
      <c r="C96" t="s">
        <v>62</v>
      </c>
      <c r="D96" t="s">
        <v>81</v>
      </c>
      <c r="E96" t="s">
        <v>69</v>
      </c>
      <c r="F96">
        <v>250</v>
      </c>
      <c r="G96">
        <v>231.37</v>
      </c>
      <c r="H96">
        <v>57842.53</v>
      </c>
      <c r="I96">
        <v>0.18579999999999999</v>
      </c>
      <c r="J96">
        <v>57842.5</v>
      </c>
      <c r="K96">
        <v>2.9999999998835847E-2</v>
      </c>
      <c r="L96">
        <v>47096.03</v>
      </c>
      <c r="M96">
        <v>47095.387900000002</v>
      </c>
      <c r="N96">
        <v>0.64207400000304915</v>
      </c>
      <c r="O96">
        <v>3817.66</v>
      </c>
      <c r="P96">
        <v>50913.68</v>
      </c>
      <c r="Q96">
        <v>50913.69</v>
      </c>
      <c r="R96">
        <v>1.0000000002037268E-2</v>
      </c>
      <c r="S96">
        <v>565152.31999999995</v>
      </c>
      <c r="T96">
        <v>47096.03</v>
      </c>
      <c r="U96">
        <v>565152.36</v>
      </c>
      <c r="V96">
        <v>4.0000000037252903E-2</v>
      </c>
      <c r="W96" t="b">
        <v>1</v>
      </c>
      <c r="X96" t="b">
        <v>1</v>
      </c>
      <c r="Y96" t="b">
        <v>1</v>
      </c>
      <c r="Z96" t="b">
        <v>1</v>
      </c>
      <c r="AA96" t="b">
        <v>1</v>
      </c>
      <c r="AB96" t="s">
        <v>282</v>
      </c>
      <c r="AC96" t="s">
        <v>283</v>
      </c>
    </row>
    <row r="97" spans="1:29" x14ac:dyDescent="0.25">
      <c r="A97" t="s">
        <v>132</v>
      </c>
      <c r="B97" t="s">
        <v>61</v>
      </c>
      <c r="C97" t="s">
        <v>68</v>
      </c>
      <c r="D97" t="s">
        <v>81</v>
      </c>
      <c r="E97" t="s">
        <v>63</v>
      </c>
      <c r="F97">
        <v>184</v>
      </c>
      <c r="G97">
        <v>1107.79</v>
      </c>
      <c r="H97">
        <v>203833.41</v>
      </c>
      <c r="I97">
        <v>0.1462</v>
      </c>
      <c r="J97">
        <v>203833.36</v>
      </c>
      <c r="K97">
        <v>5.0000000017462298E-2</v>
      </c>
      <c r="L97">
        <v>174034.13</v>
      </c>
      <c r="M97">
        <v>174032.96549999999</v>
      </c>
      <c r="N97">
        <v>1.1645420000131708</v>
      </c>
      <c r="O97">
        <v>-4106.6499999999996</v>
      </c>
      <c r="P97">
        <v>169927.49</v>
      </c>
      <c r="Q97">
        <v>169927.48</v>
      </c>
      <c r="R97">
        <v>9.9999999802093953E-3</v>
      </c>
      <c r="S97">
        <v>2088409.58</v>
      </c>
      <c r="T97">
        <v>174034.13</v>
      </c>
      <c r="U97">
        <v>2088409.56</v>
      </c>
      <c r="V97">
        <v>2.0000000018626451E-2</v>
      </c>
      <c r="W97" t="b">
        <v>1</v>
      </c>
      <c r="X97" t="b">
        <v>1</v>
      </c>
      <c r="Y97" t="b">
        <v>1</v>
      </c>
      <c r="Z97" t="b">
        <v>1</v>
      </c>
      <c r="AA97" t="b">
        <v>1</v>
      </c>
      <c r="AB97" t="s">
        <v>282</v>
      </c>
      <c r="AC97" t="s">
        <v>283</v>
      </c>
    </row>
    <row r="98" spans="1:29" x14ac:dyDescent="0.25">
      <c r="A98" t="s">
        <v>132</v>
      </c>
      <c r="B98" t="s">
        <v>61</v>
      </c>
      <c r="C98" t="s">
        <v>62</v>
      </c>
      <c r="D98" t="s">
        <v>75</v>
      </c>
      <c r="E98" t="s">
        <v>63</v>
      </c>
      <c r="F98">
        <v>291</v>
      </c>
      <c r="G98">
        <v>549.38</v>
      </c>
      <c r="H98">
        <v>159870.49</v>
      </c>
      <c r="I98">
        <v>5.4899999999999997E-2</v>
      </c>
      <c r="J98">
        <v>159869.57999999999</v>
      </c>
      <c r="K98">
        <v>0.91000000000349246</v>
      </c>
      <c r="L98">
        <v>151100.21</v>
      </c>
      <c r="M98">
        <v>151093.60010000001</v>
      </c>
      <c r="N98">
        <v>6.6099009999888949</v>
      </c>
      <c r="O98">
        <v>-13191.62</v>
      </c>
      <c r="P98">
        <v>137908.59</v>
      </c>
      <c r="Q98">
        <v>137908.59</v>
      </c>
      <c r="R98">
        <v>0</v>
      </c>
      <c r="S98">
        <v>1813202.48</v>
      </c>
      <c r="T98">
        <v>151100.21</v>
      </c>
      <c r="U98">
        <v>1813202.52</v>
      </c>
      <c r="V98">
        <v>4.0000000037252903E-2</v>
      </c>
      <c r="W98" t="b">
        <v>1</v>
      </c>
      <c r="X98" t="b">
        <v>1</v>
      </c>
      <c r="Y98" t="b">
        <v>1</v>
      </c>
      <c r="Z98" t="b">
        <v>1</v>
      </c>
      <c r="AA98" t="b">
        <v>1</v>
      </c>
      <c r="AB98" t="s">
        <v>282</v>
      </c>
      <c r="AC98" t="s">
        <v>283</v>
      </c>
    </row>
    <row r="99" spans="1:29" x14ac:dyDescent="0.25">
      <c r="A99" t="s">
        <v>132</v>
      </c>
      <c r="B99" t="s">
        <v>61</v>
      </c>
      <c r="C99" t="s">
        <v>65</v>
      </c>
      <c r="D99" t="s">
        <v>81</v>
      </c>
      <c r="E99" t="s">
        <v>66</v>
      </c>
      <c r="F99">
        <v>166</v>
      </c>
      <c r="G99">
        <v>411.43</v>
      </c>
      <c r="H99">
        <v>68297.56</v>
      </c>
      <c r="I99">
        <v>0.1004</v>
      </c>
      <c r="J99">
        <v>68297.38</v>
      </c>
      <c r="K99">
        <v>0.17999999999301508</v>
      </c>
      <c r="L99">
        <v>61440.35</v>
      </c>
      <c r="M99">
        <v>61440.485000000001</v>
      </c>
      <c r="N99">
        <v>0.13497600000118837</v>
      </c>
      <c r="O99">
        <v>839.84</v>
      </c>
      <c r="P99">
        <v>62280.19</v>
      </c>
      <c r="Q99">
        <v>62280.19</v>
      </c>
      <c r="R99">
        <v>7.2759576141834259E-12</v>
      </c>
      <c r="S99">
        <v>737284.18</v>
      </c>
      <c r="T99">
        <v>61440.35</v>
      </c>
      <c r="U99">
        <v>737284.2</v>
      </c>
      <c r="V99">
        <v>1.999999990221113E-2</v>
      </c>
      <c r="W99" t="b">
        <v>1</v>
      </c>
      <c r="X99" t="b">
        <v>1</v>
      </c>
      <c r="Y99" t="b">
        <v>1</v>
      </c>
      <c r="Z99" t="b">
        <v>1</v>
      </c>
      <c r="AA99" t="b">
        <v>1</v>
      </c>
      <c r="AB99" t="s">
        <v>282</v>
      </c>
      <c r="AC99" t="s">
        <v>283</v>
      </c>
    </row>
    <row r="100" spans="1:29" x14ac:dyDescent="0.25">
      <c r="A100" t="s">
        <v>132</v>
      </c>
      <c r="B100" t="s">
        <v>67</v>
      </c>
      <c r="C100" t="s">
        <v>65</v>
      </c>
      <c r="D100" t="s">
        <v>75</v>
      </c>
      <c r="E100" t="s">
        <v>66</v>
      </c>
      <c r="F100">
        <v>153</v>
      </c>
      <c r="G100">
        <v>627</v>
      </c>
      <c r="H100">
        <v>95931.520000000004</v>
      </c>
      <c r="I100">
        <v>1.09E-2</v>
      </c>
      <c r="J100">
        <v>95931</v>
      </c>
      <c r="K100">
        <v>0.52000000000407454</v>
      </c>
      <c r="L100">
        <v>94882.59</v>
      </c>
      <c r="M100">
        <v>94885.866399999999</v>
      </c>
      <c r="N100">
        <v>3.2764320000133011</v>
      </c>
      <c r="O100">
        <v>5264.35</v>
      </c>
      <c r="P100">
        <v>100146.93</v>
      </c>
      <c r="Q100">
        <v>100146.94</v>
      </c>
      <c r="R100">
        <v>1.0000000009313226E-2</v>
      </c>
      <c r="S100">
        <v>1138591.05</v>
      </c>
      <c r="T100">
        <v>94882.59</v>
      </c>
      <c r="U100">
        <v>1138591.08</v>
      </c>
      <c r="V100">
        <v>3.0000000027939677E-2</v>
      </c>
      <c r="W100" t="b">
        <v>1</v>
      </c>
      <c r="X100" t="b">
        <v>1</v>
      </c>
      <c r="Y100" t="b">
        <v>1</v>
      </c>
      <c r="Z100" t="b">
        <v>1</v>
      </c>
      <c r="AA100" t="b">
        <v>1</v>
      </c>
      <c r="AB100" t="s">
        <v>282</v>
      </c>
      <c r="AC100" t="s">
        <v>283</v>
      </c>
    </row>
    <row r="101" spans="1:29" x14ac:dyDescent="0.25">
      <c r="A101" t="s">
        <v>133</v>
      </c>
      <c r="B101" t="s">
        <v>67</v>
      </c>
      <c r="C101" t="s">
        <v>68</v>
      </c>
      <c r="D101" t="s">
        <v>78</v>
      </c>
      <c r="E101" t="s">
        <v>63</v>
      </c>
      <c r="F101">
        <v>120</v>
      </c>
      <c r="G101">
        <v>301.02</v>
      </c>
      <c r="H101">
        <v>36121.96</v>
      </c>
      <c r="I101">
        <v>0.15310000000000001</v>
      </c>
      <c r="J101">
        <v>36122.399999999994</v>
      </c>
      <c r="K101">
        <v>0.43999999999505235</v>
      </c>
      <c r="L101">
        <v>30591.38</v>
      </c>
      <c r="M101">
        <v>30591.687900000001</v>
      </c>
      <c r="N101">
        <v>0.30792399999700137</v>
      </c>
      <c r="O101">
        <v>877.21</v>
      </c>
      <c r="P101">
        <v>31468.58</v>
      </c>
      <c r="Q101">
        <v>31468.59</v>
      </c>
      <c r="R101">
        <v>9.9999999983992893E-3</v>
      </c>
      <c r="S101">
        <v>367096.51</v>
      </c>
      <c r="T101">
        <v>30591.38</v>
      </c>
      <c r="U101">
        <v>367096.56</v>
      </c>
      <c r="V101">
        <v>4.9999999988358468E-2</v>
      </c>
      <c r="W101" t="b">
        <v>1</v>
      </c>
      <c r="X101" t="b">
        <v>1</v>
      </c>
      <c r="Y101" t="b">
        <v>1</v>
      </c>
      <c r="Z101" t="b">
        <v>1</v>
      </c>
      <c r="AA101" t="b">
        <v>1</v>
      </c>
      <c r="AB101" t="s">
        <v>282</v>
      </c>
      <c r="AC101" t="s">
        <v>283</v>
      </c>
    </row>
    <row r="102" spans="1:29" x14ac:dyDescent="0.25">
      <c r="A102" t="s">
        <v>133</v>
      </c>
      <c r="B102" t="s">
        <v>64</v>
      </c>
      <c r="C102" t="s">
        <v>62</v>
      </c>
      <c r="D102" t="s">
        <v>81</v>
      </c>
      <c r="E102" t="s">
        <v>63</v>
      </c>
      <c r="F102">
        <v>254</v>
      </c>
      <c r="G102">
        <v>679.67</v>
      </c>
      <c r="H102">
        <v>172635.97</v>
      </c>
      <c r="I102">
        <v>1.6299999999999999E-2</v>
      </c>
      <c r="J102">
        <v>172636.18</v>
      </c>
      <c r="K102">
        <v>0.20999999999185093</v>
      </c>
      <c r="L102">
        <v>169827.39</v>
      </c>
      <c r="M102">
        <v>169822.0037</v>
      </c>
      <c r="N102">
        <v>5.3863110000093002</v>
      </c>
      <c r="O102">
        <v>14328.73</v>
      </c>
      <c r="P102">
        <v>184156.11</v>
      </c>
      <c r="Q102">
        <v>184156.12</v>
      </c>
      <c r="R102">
        <v>1.0000000038417056E-2</v>
      </c>
      <c r="S102">
        <v>2037928.66</v>
      </c>
      <c r="T102">
        <v>169827.39</v>
      </c>
      <c r="U102">
        <v>2037928.68</v>
      </c>
      <c r="V102">
        <v>2.0000000251457095E-2</v>
      </c>
      <c r="W102" t="b">
        <v>1</v>
      </c>
      <c r="X102" t="b">
        <v>1</v>
      </c>
      <c r="Y102" t="b">
        <v>1</v>
      </c>
      <c r="Z102" t="b">
        <v>1</v>
      </c>
      <c r="AA102" t="b">
        <v>1</v>
      </c>
      <c r="AB102" t="s">
        <v>282</v>
      </c>
      <c r="AC102" t="s">
        <v>283</v>
      </c>
    </row>
    <row r="103" spans="1:29" x14ac:dyDescent="0.25">
      <c r="A103" t="s">
        <v>133</v>
      </c>
      <c r="B103" t="s">
        <v>64</v>
      </c>
      <c r="C103" t="s">
        <v>65</v>
      </c>
      <c r="D103" t="s">
        <v>78</v>
      </c>
      <c r="E103" t="s">
        <v>66</v>
      </c>
      <c r="F103">
        <v>257</v>
      </c>
      <c r="G103">
        <v>499.83</v>
      </c>
      <c r="H103">
        <v>128455.16</v>
      </c>
      <c r="I103">
        <v>4.3900000000000002E-2</v>
      </c>
      <c r="J103">
        <v>128456.31</v>
      </c>
      <c r="K103">
        <v>1.1499999999941792</v>
      </c>
      <c r="L103">
        <v>122818.1</v>
      </c>
      <c r="M103">
        <v>122815.9785</v>
      </c>
      <c r="N103">
        <v>2.1215240000019548</v>
      </c>
      <c r="O103">
        <v>1970.18</v>
      </c>
      <c r="P103">
        <v>124788.27</v>
      </c>
      <c r="Q103">
        <v>124788.28</v>
      </c>
      <c r="R103">
        <v>9.9999999947613105E-3</v>
      </c>
      <c r="S103">
        <v>1473817.17</v>
      </c>
      <c r="T103">
        <v>122818.1</v>
      </c>
      <c r="U103">
        <v>1473817.2</v>
      </c>
      <c r="V103">
        <v>3.0000000260770321E-2</v>
      </c>
      <c r="W103" t="b">
        <v>1</v>
      </c>
      <c r="X103" t="b">
        <v>1</v>
      </c>
      <c r="Y103" t="b">
        <v>1</v>
      </c>
      <c r="Z103" t="b">
        <v>1</v>
      </c>
      <c r="AA103" t="b">
        <v>1</v>
      </c>
      <c r="AB103" t="s">
        <v>282</v>
      </c>
      <c r="AC103" t="s">
        <v>283</v>
      </c>
    </row>
    <row r="104" spans="1:29" x14ac:dyDescent="0.25">
      <c r="A104" t="s">
        <v>133</v>
      </c>
      <c r="B104" t="s">
        <v>67</v>
      </c>
      <c r="C104" t="s">
        <v>62</v>
      </c>
      <c r="D104" t="s">
        <v>78</v>
      </c>
      <c r="E104" t="s">
        <v>66</v>
      </c>
      <c r="F104">
        <v>254</v>
      </c>
      <c r="G104">
        <v>383.55</v>
      </c>
      <c r="H104">
        <v>97421.37</v>
      </c>
      <c r="I104">
        <v>6.8599999999999994E-2</v>
      </c>
      <c r="J104">
        <v>97421.7</v>
      </c>
      <c r="K104">
        <v>0.33000000000174623</v>
      </c>
      <c r="L104">
        <v>90738.35</v>
      </c>
      <c r="M104">
        <v>90738.263999999996</v>
      </c>
      <c r="N104">
        <v>8.5982000004150905E-2</v>
      </c>
      <c r="O104">
        <v>-406.07</v>
      </c>
      <c r="P104">
        <v>90332.27</v>
      </c>
      <c r="Q104">
        <v>90332.28</v>
      </c>
      <c r="R104">
        <v>9.9999999947613105E-3</v>
      </c>
      <c r="S104">
        <v>1088860.1599999999</v>
      </c>
      <c r="T104">
        <v>90738.35</v>
      </c>
      <c r="U104">
        <v>1088860.2</v>
      </c>
      <c r="V104">
        <v>4.0000000270083547E-2</v>
      </c>
      <c r="W104" t="b">
        <v>1</v>
      </c>
      <c r="X104" t="b">
        <v>1</v>
      </c>
      <c r="Y104" t="b">
        <v>1</v>
      </c>
      <c r="Z104" t="b">
        <v>1</v>
      </c>
      <c r="AA104" t="b">
        <v>1</v>
      </c>
      <c r="AB104" t="s">
        <v>282</v>
      </c>
      <c r="AC104" t="s">
        <v>283</v>
      </c>
    </row>
    <row r="105" spans="1:29" x14ac:dyDescent="0.25">
      <c r="A105" t="s">
        <v>133</v>
      </c>
      <c r="B105" t="s">
        <v>64</v>
      </c>
      <c r="C105" t="s">
        <v>68</v>
      </c>
      <c r="D105" t="s">
        <v>81</v>
      </c>
      <c r="E105" t="s">
        <v>69</v>
      </c>
      <c r="F105">
        <v>133</v>
      </c>
      <c r="G105">
        <v>610.04999999999995</v>
      </c>
      <c r="H105">
        <v>81136.05</v>
      </c>
      <c r="I105">
        <v>0.19009999999999999</v>
      </c>
      <c r="J105">
        <v>81136.649999999994</v>
      </c>
      <c r="K105">
        <v>0.59999999999126885</v>
      </c>
      <c r="L105">
        <v>65709.5</v>
      </c>
      <c r="M105">
        <v>65712.086899999995</v>
      </c>
      <c r="N105">
        <v>2.5868950000003679</v>
      </c>
      <c r="O105">
        <v>-1120.5899999999999</v>
      </c>
      <c r="P105">
        <v>64588.91</v>
      </c>
      <c r="Q105">
        <v>64588.91</v>
      </c>
      <c r="R105">
        <v>0</v>
      </c>
      <c r="S105">
        <v>788513.99</v>
      </c>
      <c r="T105">
        <v>65709.5</v>
      </c>
      <c r="U105">
        <v>788514</v>
      </c>
      <c r="V105">
        <v>1.0000000009313226E-2</v>
      </c>
      <c r="W105" t="b">
        <v>1</v>
      </c>
      <c r="X105" t="b">
        <v>1</v>
      </c>
      <c r="Y105" t="b">
        <v>1</v>
      </c>
      <c r="Z105" t="b">
        <v>1</v>
      </c>
      <c r="AA105" t="b">
        <v>1</v>
      </c>
      <c r="AB105" t="s">
        <v>282</v>
      </c>
      <c r="AC105" t="s">
        <v>283</v>
      </c>
    </row>
    <row r="106" spans="1:29" x14ac:dyDescent="0.25">
      <c r="A106" t="s">
        <v>133</v>
      </c>
      <c r="B106" t="s">
        <v>61</v>
      </c>
      <c r="C106" t="s">
        <v>68</v>
      </c>
      <c r="D106" t="s">
        <v>78</v>
      </c>
      <c r="E106" t="s">
        <v>63</v>
      </c>
      <c r="F106">
        <v>284</v>
      </c>
      <c r="G106">
        <v>222.68</v>
      </c>
      <c r="H106">
        <v>63239.78</v>
      </c>
      <c r="I106">
        <v>8.5000000000000006E-3</v>
      </c>
      <c r="J106">
        <v>63241.120000000003</v>
      </c>
      <c r="K106">
        <v>1.3400000000037835</v>
      </c>
      <c r="L106">
        <v>62705.05</v>
      </c>
      <c r="M106">
        <v>62702.241900000001</v>
      </c>
      <c r="N106">
        <v>2.8081300000048941</v>
      </c>
      <c r="O106">
        <v>-756.45</v>
      </c>
      <c r="P106">
        <v>61948.6</v>
      </c>
      <c r="Q106">
        <v>61948.6</v>
      </c>
      <c r="R106">
        <v>7.2759576141834259E-12</v>
      </c>
      <c r="S106">
        <v>752460.58</v>
      </c>
      <c r="T106">
        <v>62705.05</v>
      </c>
      <c r="U106">
        <v>752460.6</v>
      </c>
      <c r="V106">
        <v>2.0000000135041773E-2</v>
      </c>
      <c r="W106" t="b">
        <v>1</v>
      </c>
      <c r="X106" t="b">
        <v>1</v>
      </c>
      <c r="Y106" t="b">
        <v>1</v>
      </c>
      <c r="Z106" t="b">
        <v>1</v>
      </c>
      <c r="AA106" t="b">
        <v>1</v>
      </c>
      <c r="AB106" t="s">
        <v>282</v>
      </c>
      <c r="AC106" t="s">
        <v>283</v>
      </c>
    </row>
    <row r="107" spans="1:29" x14ac:dyDescent="0.25">
      <c r="A107" t="s">
        <v>133</v>
      </c>
      <c r="B107" t="s">
        <v>61</v>
      </c>
      <c r="C107" t="s">
        <v>62</v>
      </c>
      <c r="D107" t="s">
        <v>78</v>
      </c>
      <c r="E107" t="s">
        <v>69</v>
      </c>
      <c r="F107">
        <v>264</v>
      </c>
      <c r="G107">
        <v>1182.28</v>
      </c>
      <c r="H107">
        <v>312120.89</v>
      </c>
      <c r="I107">
        <v>0.24099999999999999</v>
      </c>
      <c r="J107">
        <v>312121.92</v>
      </c>
      <c r="K107">
        <v>1.029999999969732</v>
      </c>
      <c r="L107">
        <v>236909.82</v>
      </c>
      <c r="M107">
        <v>236899.7555</v>
      </c>
      <c r="N107">
        <v>10.064489999989746</v>
      </c>
      <c r="O107">
        <v>-81.53</v>
      </c>
      <c r="P107">
        <v>236828.29</v>
      </c>
      <c r="Q107">
        <v>236828.29</v>
      </c>
      <c r="R107">
        <v>0</v>
      </c>
      <c r="S107">
        <v>2842917.83</v>
      </c>
      <c r="T107">
        <v>236909.82</v>
      </c>
      <c r="U107">
        <v>2842917.84</v>
      </c>
      <c r="V107">
        <v>9.9999997764825821E-3</v>
      </c>
      <c r="W107" t="b">
        <v>1</v>
      </c>
      <c r="X107" t="b">
        <v>1</v>
      </c>
      <c r="Y107" t="b">
        <v>1</v>
      </c>
      <c r="Z107" t="b">
        <v>1</v>
      </c>
      <c r="AA107" t="b">
        <v>1</v>
      </c>
      <c r="AB107" t="s">
        <v>282</v>
      </c>
      <c r="AC107" t="s">
        <v>283</v>
      </c>
    </row>
    <row r="108" spans="1:29" x14ac:dyDescent="0.25">
      <c r="A108" t="s">
        <v>133</v>
      </c>
      <c r="B108" t="s">
        <v>61</v>
      </c>
      <c r="C108" t="s">
        <v>65</v>
      </c>
      <c r="D108" t="s">
        <v>75</v>
      </c>
      <c r="E108" t="s">
        <v>63</v>
      </c>
      <c r="F108">
        <v>220</v>
      </c>
      <c r="G108">
        <v>866.49</v>
      </c>
      <c r="H108">
        <v>190627.23</v>
      </c>
      <c r="I108">
        <v>5.7999999999999996E-3</v>
      </c>
      <c r="J108">
        <v>190627.8</v>
      </c>
      <c r="K108">
        <v>0.56999999997788109</v>
      </c>
      <c r="L108">
        <v>189514.39</v>
      </c>
      <c r="M108">
        <v>189521.59210000001</v>
      </c>
      <c r="N108">
        <v>7.2020659999980126</v>
      </c>
      <c r="O108">
        <v>-13244.14</v>
      </c>
      <c r="P108">
        <v>176270.25</v>
      </c>
      <c r="Q108">
        <v>176270.25</v>
      </c>
      <c r="R108">
        <v>0</v>
      </c>
      <c r="S108">
        <v>2274172.71</v>
      </c>
      <c r="T108">
        <v>189514.39</v>
      </c>
      <c r="U108">
        <v>2274172.6800000002</v>
      </c>
      <c r="V108">
        <v>2.9999999795109034E-2</v>
      </c>
      <c r="W108" t="b">
        <v>1</v>
      </c>
      <c r="X108" t="b">
        <v>1</v>
      </c>
      <c r="Y108" t="b">
        <v>1</v>
      </c>
      <c r="Z108" t="b">
        <v>1</v>
      </c>
      <c r="AA108" t="b">
        <v>1</v>
      </c>
      <c r="AB108" t="s">
        <v>282</v>
      </c>
      <c r="AC108" t="s">
        <v>283</v>
      </c>
    </row>
    <row r="109" spans="1:29" x14ac:dyDescent="0.25">
      <c r="A109" t="s">
        <v>133</v>
      </c>
      <c r="B109" t="s">
        <v>67</v>
      </c>
      <c r="C109" t="s">
        <v>65</v>
      </c>
      <c r="D109" t="s">
        <v>81</v>
      </c>
      <c r="E109" t="s">
        <v>69</v>
      </c>
      <c r="F109">
        <v>207</v>
      </c>
      <c r="G109">
        <v>803.49</v>
      </c>
      <c r="H109">
        <v>166323.16</v>
      </c>
      <c r="I109">
        <v>0.18279999999999999</v>
      </c>
      <c r="J109">
        <v>166322.43</v>
      </c>
      <c r="K109">
        <v>0.73000000001047738</v>
      </c>
      <c r="L109">
        <v>135922.38</v>
      </c>
      <c r="M109">
        <v>135919.28640000001</v>
      </c>
      <c r="N109">
        <v>3.0936480000091251</v>
      </c>
      <c r="O109">
        <v>12011.6</v>
      </c>
      <c r="P109">
        <v>147933.98000000001</v>
      </c>
      <c r="Q109">
        <v>147933.98000000001</v>
      </c>
      <c r="R109">
        <v>0</v>
      </c>
      <c r="S109">
        <v>1631068.54</v>
      </c>
      <c r="T109">
        <v>135922.38</v>
      </c>
      <c r="U109">
        <v>1631068.56</v>
      </c>
      <c r="V109">
        <v>2.0000000018626451E-2</v>
      </c>
      <c r="W109" t="b">
        <v>1</v>
      </c>
      <c r="X109" t="b">
        <v>1</v>
      </c>
      <c r="Y109" t="b">
        <v>1</v>
      </c>
      <c r="Z109" t="b">
        <v>1</v>
      </c>
      <c r="AA109" t="b">
        <v>1</v>
      </c>
      <c r="AB109" t="s">
        <v>282</v>
      </c>
      <c r="AC109" t="s">
        <v>283</v>
      </c>
    </row>
    <row r="110" spans="1:29" x14ac:dyDescent="0.25">
      <c r="A110" t="s">
        <v>134</v>
      </c>
      <c r="B110" t="s">
        <v>64</v>
      </c>
      <c r="C110" t="s">
        <v>62</v>
      </c>
      <c r="D110" t="s">
        <v>81</v>
      </c>
      <c r="E110" t="s">
        <v>66</v>
      </c>
      <c r="F110">
        <v>98</v>
      </c>
      <c r="G110">
        <v>688.08</v>
      </c>
      <c r="H110">
        <v>67432.149999999994</v>
      </c>
      <c r="I110">
        <v>0.156</v>
      </c>
      <c r="J110">
        <v>67431.840000000011</v>
      </c>
      <c r="K110">
        <v>0.30999999998311978</v>
      </c>
      <c r="L110">
        <v>56912.28</v>
      </c>
      <c r="M110">
        <v>56912.734600000003</v>
      </c>
      <c r="N110">
        <v>0.45459999999729916</v>
      </c>
      <c r="O110">
        <v>4737.8900000000003</v>
      </c>
      <c r="P110">
        <v>61650.17</v>
      </c>
      <c r="Q110">
        <v>61650.17</v>
      </c>
      <c r="R110">
        <v>0</v>
      </c>
      <c r="S110">
        <v>682947.31</v>
      </c>
      <c r="T110">
        <v>56912.28</v>
      </c>
      <c r="U110">
        <v>682947.36</v>
      </c>
      <c r="V110">
        <v>4.9999999930150807E-2</v>
      </c>
      <c r="W110" t="b">
        <v>1</v>
      </c>
      <c r="X110" t="b">
        <v>1</v>
      </c>
      <c r="Y110" t="b">
        <v>1</v>
      </c>
      <c r="Z110" t="b">
        <v>1</v>
      </c>
      <c r="AA110" t="b">
        <v>1</v>
      </c>
      <c r="AB110" t="s">
        <v>282</v>
      </c>
      <c r="AC110" t="s">
        <v>283</v>
      </c>
    </row>
    <row r="111" spans="1:29" x14ac:dyDescent="0.25">
      <c r="A111" t="s">
        <v>134</v>
      </c>
      <c r="B111" t="s">
        <v>64</v>
      </c>
      <c r="C111" t="s">
        <v>65</v>
      </c>
      <c r="D111" t="s">
        <v>78</v>
      </c>
      <c r="E111" t="s">
        <v>69</v>
      </c>
      <c r="F111">
        <v>161</v>
      </c>
      <c r="G111">
        <v>923.84</v>
      </c>
      <c r="H111">
        <v>148738.01999999999</v>
      </c>
      <c r="I111">
        <v>0.1573</v>
      </c>
      <c r="J111">
        <v>148738.23999999999</v>
      </c>
      <c r="K111">
        <v>0.22000000000116415</v>
      </c>
      <c r="L111">
        <v>125342.39</v>
      </c>
      <c r="M111">
        <v>125341.5295</v>
      </c>
      <c r="N111">
        <v>0.86054600001079962</v>
      </c>
      <c r="O111">
        <v>6387.54</v>
      </c>
      <c r="P111">
        <v>131729.94</v>
      </c>
      <c r="Q111">
        <v>131729.93</v>
      </c>
      <c r="R111">
        <v>1.0000000009313226E-2</v>
      </c>
      <c r="S111">
        <v>1504108.7</v>
      </c>
      <c r="T111">
        <v>125342.39</v>
      </c>
      <c r="U111">
        <v>1504108.68</v>
      </c>
      <c r="V111">
        <v>2.0000000018626451E-2</v>
      </c>
      <c r="W111" t="b">
        <v>1</v>
      </c>
      <c r="X111" t="b">
        <v>1</v>
      </c>
      <c r="Y111" t="b">
        <v>1</v>
      </c>
      <c r="Z111" t="b">
        <v>1</v>
      </c>
      <c r="AA111" t="b">
        <v>1</v>
      </c>
      <c r="AB111" t="s">
        <v>282</v>
      </c>
      <c r="AC111" t="s">
        <v>283</v>
      </c>
    </row>
    <row r="112" spans="1:29" x14ac:dyDescent="0.25">
      <c r="A112" t="s">
        <v>134</v>
      </c>
      <c r="B112" t="s">
        <v>67</v>
      </c>
      <c r="C112" t="s">
        <v>68</v>
      </c>
      <c r="D112" t="s">
        <v>78</v>
      </c>
      <c r="E112" t="s">
        <v>69</v>
      </c>
      <c r="F112">
        <v>59</v>
      </c>
      <c r="G112">
        <v>859.37</v>
      </c>
      <c r="H112">
        <v>50702.57</v>
      </c>
      <c r="I112">
        <v>8.8000000000000005E-3</v>
      </c>
      <c r="J112">
        <v>50702.83</v>
      </c>
      <c r="K112">
        <v>0.26000000000203727</v>
      </c>
      <c r="L112">
        <v>50256.88</v>
      </c>
      <c r="M112">
        <v>50256.3874</v>
      </c>
      <c r="N112">
        <v>0.49261599999590544</v>
      </c>
      <c r="O112">
        <v>6406.49</v>
      </c>
      <c r="P112">
        <v>56663.37</v>
      </c>
      <c r="Q112">
        <v>56663.37</v>
      </c>
      <c r="R112">
        <v>7.2759576141834259E-12</v>
      </c>
      <c r="S112">
        <v>603082.56999999995</v>
      </c>
      <c r="T112">
        <v>50256.88</v>
      </c>
      <c r="U112">
        <v>603082.56000000006</v>
      </c>
      <c r="V112">
        <v>1.0000000009313226E-2</v>
      </c>
      <c r="W112" t="b">
        <v>1</v>
      </c>
      <c r="X112" t="b">
        <v>1</v>
      </c>
      <c r="Y112" t="b">
        <v>1</v>
      </c>
      <c r="Z112" t="b">
        <v>1</v>
      </c>
      <c r="AA112" t="b">
        <v>1</v>
      </c>
      <c r="AB112" t="s">
        <v>282</v>
      </c>
      <c r="AC112" t="s">
        <v>283</v>
      </c>
    </row>
    <row r="113" spans="1:29" x14ac:dyDescent="0.25">
      <c r="A113" t="s">
        <v>134</v>
      </c>
      <c r="B113" t="s">
        <v>67</v>
      </c>
      <c r="C113" t="s">
        <v>62</v>
      </c>
      <c r="D113" t="s">
        <v>78</v>
      </c>
      <c r="E113" t="s">
        <v>63</v>
      </c>
      <c r="F113">
        <v>254</v>
      </c>
      <c r="G113">
        <v>529.4</v>
      </c>
      <c r="H113">
        <v>134466.46</v>
      </c>
      <c r="I113">
        <v>0.15210000000000001</v>
      </c>
      <c r="J113">
        <v>134467.6</v>
      </c>
      <c r="K113">
        <v>1.1400000000139698</v>
      </c>
      <c r="L113">
        <v>114010.78</v>
      </c>
      <c r="M113">
        <v>114014.11139999999</v>
      </c>
      <c r="N113">
        <v>3.3314339999924414</v>
      </c>
      <c r="O113">
        <v>15605.97</v>
      </c>
      <c r="P113">
        <v>129616.75</v>
      </c>
      <c r="Q113">
        <v>129616.75</v>
      </c>
      <c r="R113">
        <v>0</v>
      </c>
      <c r="S113">
        <v>1368129.36</v>
      </c>
      <c r="T113">
        <v>114010.78</v>
      </c>
      <c r="U113">
        <v>1368129.36</v>
      </c>
      <c r="V113">
        <v>2.3283064365386963E-10</v>
      </c>
      <c r="W113" t="b">
        <v>1</v>
      </c>
      <c r="X113" t="b">
        <v>1</v>
      </c>
      <c r="Y113" t="b">
        <v>1</v>
      </c>
      <c r="Z113" t="b">
        <v>1</v>
      </c>
      <c r="AA113" t="b">
        <v>1</v>
      </c>
      <c r="AB113" t="s">
        <v>282</v>
      </c>
      <c r="AC113" t="s">
        <v>283</v>
      </c>
    </row>
    <row r="114" spans="1:29" x14ac:dyDescent="0.25">
      <c r="A114" t="s">
        <v>134</v>
      </c>
      <c r="B114" t="s">
        <v>64</v>
      </c>
      <c r="C114" t="s">
        <v>68</v>
      </c>
      <c r="D114" t="s">
        <v>78</v>
      </c>
      <c r="E114" t="s">
        <v>66</v>
      </c>
      <c r="F114">
        <v>149</v>
      </c>
      <c r="G114">
        <v>780.18</v>
      </c>
      <c r="H114">
        <v>116246.78</v>
      </c>
      <c r="I114">
        <v>0.22770000000000001</v>
      </c>
      <c r="J114">
        <v>116246.81999999999</v>
      </c>
      <c r="K114">
        <v>3.9999999993597157E-2</v>
      </c>
      <c r="L114">
        <v>89772.35</v>
      </c>
      <c r="M114">
        <v>89777.388200000001</v>
      </c>
      <c r="N114">
        <v>5.038193999993382</v>
      </c>
      <c r="O114">
        <v>5975.19</v>
      </c>
      <c r="P114">
        <v>95747.54</v>
      </c>
      <c r="Q114">
        <v>95747.54</v>
      </c>
      <c r="R114">
        <v>1.4551915228366852E-11</v>
      </c>
      <c r="S114">
        <v>1077268.23</v>
      </c>
      <c r="T114">
        <v>89772.35</v>
      </c>
      <c r="U114">
        <v>1077268.2</v>
      </c>
      <c r="V114">
        <v>2.9999999795109034E-2</v>
      </c>
      <c r="W114" t="b">
        <v>1</v>
      </c>
      <c r="X114" t="b">
        <v>1</v>
      </c>
      <c r="Y114" t="b">
        <v>1</v>
      </c>
      <c r="Z114" t="b">
        <v>1</v>
      </c>
      <c r="AA114" t="b">
        <v>1</v>
      </c>
      <c r="AB114" t="s">
        <v>282</v>
      </c>
      <c r="AC114" t="s">
        <v>283</v>
      </c>
    </row>
    <row r="115" spans="1:29" x14ac:dyDescent="0.25">
      <c r="A115" t="s">
        <v>134</v>
      </c>
      <c r="B115" t="s">
        <v>61</v>
      </c>
      <c r="C115" t="s">
        <v>68</v>
      </c>
      <c r="D115" t="s">
        <v>75</v>
      </c>
      <c r="E115" t="s">
        <v>63</v>
      </c>
      <c r="F115">
        <v>197</v>
      </c>
      <c r="G115">
        <v>829.83</v>
      </c>
      <c r="H115">
        <v>163475.95000000001</v>
      </c>
      <c r="I115">
        <v>0.20619999999999999</v>
      </c>
      <c r="J115">
        <v>163476.51</v>
      </c>
      <c r="K115">
        <v>0.55999999999767169</v>
      </c>
      <c r="L115">
        <v>129773.16</v>
      </c>
      <c r="M115">
        <v>129767.20909999999</v>
      </c>
      <c r="N115">
        <v>5.9508899999927962</v>
      </c>
      <c r="O115">
        <v>18513.349999999999</v>
      </c>
      <c r="P115">
        <v>148286.51</v>
      </c>
      <c r="Q115">
        <v>148286.51</v>
      </c>
      <c r="R115">
        <v>0</v>
      </c>
      <c r="S115">
        <v>1557277.89</v>
      </c>
      <c r="T115">
        <v>129773.16</v>
      </c>
      <c r="U115">
        <v>1557277.92</v>
      </c>
      <c r="V115">
        <v>3.0000000027939677E-2</v>
      </c>
      <c r="W115" t="b">
        <v>1</v>
      </c>
      <c r="X115" t="b">
        <v>1</v>
      </c>
      <c r="Y115" t="b">
        <v>1</v>
      </c>
      <c r="Z115" t="b">
        <v>1</v>
      </c>
      <c r="AA115" t="b">
        <v>1</v>
      </c>
      <c r="AB115" t="s">
        <v>282</v>
      </c>
      <c r="AC115" t="s">
        <v>283</v>
      </c>
    </row>
    <row r="116" spans="1:29" x14ac:dyDescent="0.25">
      <c r="A116" t="s">
        <v>134</v>
      </c>
      <c r="B116" t="s">
        <v>61</v>
      </c>
      <c r="C116" t="s">
        <v>62</v>
      </c>
      <c r="D116" t="s">
        <v>81</v>
      </c>
      <c r="E116" t="s">
        <v>69</v>
      </c>
      <c r="F116">
        <v>201</v>
      </c>
      <c r="G116">
        <v>1165.22</v>
      </c>
      <c r="H116">
        <v>234208.92</v>
      </c>
      <c r="I116">
        <v>1.11E-2</v>
      </c>
      <c r="J116">
        <v>234209.22</v>
      </c>
      <c r="K116">
        <v>0.29999999998835847</v>
      </c>
      <c r="L116">
        <v>231602.56</v>
      </c>
      <c r="M116">
        <v>231609.201</v>
      </c>
      <c r="N116">
        <v>6.640988000028301</v>
      </c>
      <c r="O116">
        <v>25783.1</v>
      </c>
      <c r="P116">
        <v>257385.66</v>
      </c>
      <c r="Q116">
        <v>257385.66</v>
      </c>
      <c r="R116">
        <v>0</v>
      </c>
      <c r="S116">
        <v>2779230.73</v>
      </c>
      <c r="T116">
        <v>231602.56</v>
      </c>
      <c r="U116">
        <v>2779230.72</v>
      </c>
      <c r="V116">
        <v>1.0000000242143869E-2</v>
      </c>
      <c r="W116" t="b">
        <v>1</v>
      </c>
      <c r="X116" t="b">
        <v>1</v>
      </c>
      <c r="Y116" t="b">
        <v>1</v>
      </c>
      <c r="Z116" t="b">
        <v>1</v>
      </c>
      <c r="AA116" t="b">
        <v>1</v>
      </c>
      <c r="AB116" t="s">
        <v>282</v>
      </c>
      <c r="AC116" t="s">
        <v>283</v>
      </c>
    </row>
    <row r="117" spans="1:29" x14ac:dyDescent="0.25">
      <c r="A117" t="s">
        <v>134</v>
      </c>
      <c r="B117" t="s">
        <v>61</v>
      </c>
      <c r="C117" t="s">
        <v>65</v>
      </c>
      <c r="D117" t="s">
        <v>78</v>
      </c>
      <c r="E117" t="s">
        <v>66</v>
      </c>
      <c r="F117">
        <v>228</v>
      </c>
      <c r="G117">
        <v>617.96</v>
      </c>
      <c r="H117">
        <v>140894.6</v>
      </c>
      <c r="I117">
        <v>5.0700000000000002E-2</v>
      </c>
      <c r="J117">
        <v>140894.88</v>
      </c>
      <c r="K117">
        <v>0.27999999999883585</v>
      </c>
      <c r="L117">
        <v>133751.35</v>
      </c>
      <c r="M117">
        <v>133751.2438</v>
      </c>
      <c r="N117">
        <v>0.10621999998693354</v>
      </c>
      <c r="O117">
        <v>-10792.69</v>
      </c>
      <c r="P117">
        <v>122958.67</v>
      </c>
      <c r="Q117">
        <v>122958.66</v>
      </c>
      <c r="R117">
        <v>9.9999999947613105E-3</v>
      </c>
      <c r="S117">
        <v>1605016.26</v>
      </c>
      <c r="T117">
        <v>133751.35</v>
      </c>
      <c r="U117">
        <v>1605016.2</v>
      </c>
      <c r="V117">
        <v>5.9999999823048711E-2</v>
      </c>
      <c r="W117" t="b">
        <v>1</v>
      </c>
      <c r="X117" t="b">
        <v>1</v>
      </c>
      <c r="Y117" t="b">
        <v>1</v>
      </c>
      <c r="Z117" t="b">
        <v>1</v>
      </c>
      <c r="AA117" t="b">
        <v>1</v>
      </c>
      <c r="AB117" t="s">
        <v>282</v>
      </c>
      <c r="AC117" t="s">
        <v>283</v>
      </c>
    </row>
    <row r="118" spans="1:29" x14ac:dyDescent="0.25">
      <c r="A118" t="s">
        <v>134</v>
      </c>
      <c r="B118" t="s">
        <v>67</v>
      </c>
      <c r="C118" t="s">
        <v>65</v>
      </c>
      <c r="D118" t="s">
        <v>75</v>
      </c>
      <c r="E118" t="s">
        <v>63</v>
      </c>
      <c r="F118">
        <v>210</v>
      </c>
      <c r="G118">
        <v>682.63</v>
      </c>
      <c r="H118">
        <v>143353.31</v>
      </c>
      <c r="I118">
        <v>0.16289999999999999</v>
      </c>
      <c r="J118">
        <v>143352.29999999999</v>
      </c>
      <c r="K118">
        <v>1.0100000000093132</v>
      </c>
      <c r="L118">
        <v>119997.61</v>
      </c>
      <c r="M118">
        <v>120001.0558</v>
      </c>
      <c r="N118">
        <v>3.4458009999943897</v>
      </c>
      <c r="O118">
        <v>1623.71</v>
      </c>
      <c r="P118">
        <v>121621.32</v>
      </c>
      <c r="Q118">
        <v>121621.32</v>
      </c>
      <c r="R118">
        <v>0</v>
      </c>
      <c r="S118">
        <v>1439971.3</v>
      </c>
      <c r="T118">
        <v>119997.61</v>
      </c>
      <c r="U118">
        <v>1439971.32</v>
      </c>
      <c r="V118">
        <v>2.0000000018626451E-2</v>
      </c>
      <c r="W118" t="b">
        <v>1</v>
      </c>
      <c r="X118" t="b">
        <v>1</v>
      </c>
      <c r="Y118" t="b">
        <v>1</v>
      </c>
      <c r="Z118" t="b">
        <v>1</v>
      </c>
      <c r="AA118" t="b">
        <v>1</v>
      </c>
      <c r="AB118" t="s">
        <v>282</v>
      </c>
      <c r="AC118" t="s">
        <v>283</v>
      </c>
    </row>
    <row r="119" spans="1:29" x14ac:dyDescent="0.25">
      <c r="A119" t="s">
        <v>135</v>
      </c>
      <c r="B119" t="s">
        <v>64</v>
      </c>
      <c r="C119" t="s">
        <v>68</v>
      </c>
      <c r="D119" t="s">
        <v>75</v>
      </c>
      <c r="E119" t="s">
        <v>69</v>
      </c>
      <c r="F119">
        <v>176</v>
      </c>
      <c r="G119">
        <v>596.26</v>
      </c>
      <c r="H119">
        <v>104941.19</v>
      </c>
      <c r="I119">
        <v>0.1439</v>
      </c>
      <c r="J119">
        <v>104941.75999999999</v>
      </c>
      <c r="K119">
        <v>0.569999999992433</v>
      </c>
      <c r="L119">
        <v>89835.72</v>
      </c>
      <c r="M119">
        <v>89840.152799999996</v>
      </c>
      <c r="N119">
        <v>4.4327590000029886</v>
      </c>
      <c r="O119">
        <v>-1960.34</v>
      </c>
      <c r="P119">
        <v>87875.38</v>
      </c>
      <c r="Q119">
        <v>87875.38</v>
      </c>
      <c r="R119">
        <v>0</v>
      </c>
      <c r="S119">
        <v>1078028.6100000001</v>
      </c>
      <c r="T119">
        <v>89835.72</v>
      </c>
      <c r="U119">
        <v>1078028.6399999999</v>
      </c>
      <c r="V119">
        <v>3.0000000027939677E-2</v>
      </c>
      <c r="W119" t="b">
        <v>1</v>
      </c>
      <c r="X119" t="b">
        <v>1</v>
      </c>
      <c r="Y119" t="b">
        <v>1</v>
      </c>
      <c r="Z119" t="b">
        <v>1</v>
      </c>
      <c r="AA119" t="b">
        <v>1</v>
      </c>
      <c r="AB119" t="s">
        <v>282</v>
      </c>
      <c r="AC119" t="s">
        <v>283</v>
      </c>
    </row>
    <row r="120" spans="1:29" x14ac:dyDescent="0.25">
      <c r="A120" t="s">
        <v>135</v>
      </c>
      <c r="B120" t="s">
        <v>64</v>
      </c>
      <c r="C120" t="s">
        <v>62</v>
      </c>
      <c r="D120" t="s">
        <v>78</v>
      </c>
      <c r="E120" t="s">
        <v>66</v>
      </c>
      <c r="F120">
        <v>200</v>
      </c>
      <c r="G120">
        <v>212.72</v>
      </c>
      <c r="H120">
        <v>42543.44</v>
      </c>
      <c r="I120">
        <v>0.12239999999999999</v>
      </c>
      <c r="J120">
        <v>42544</v>
      </c>
      <c r="K120">
        <v>0.55999999999767169</v>
      </c>
      <c r="L120">
        <v>37337.43</v>
      </c>
      <c r="M120">
        <v>37336.122900000002</v>
      </c>
      <c r="N120">
        <v>1.3070559999978286</v>
      </c>
      <c r="O120">
        <v>299.29000000000002</v>
      </c>
      <c r="P120">
        <v>37636.720000000001</v>
      </c>
      <c r="Q120">
        <v>37636.720000000001</v>
      </c>
      <c r="R120">
        <v>0</v>
      </c>
      <c r="S120">
        <v>448049.19</v>
      </c>
      <c r="T120">
        <v>37337.43</v>
      </c>
      <c r="U120">
        <v>448049.16</v>
      </c>
      <c r="V120">
        <v>2.9999999969732016E-2</v>
      </c>
      <c r="W120" t="b">
        <v>1</v>
      </c>
      <c r="X120" t="b">
        <v>1</v>
      </c>
      <c r="Y120" t="b">
        <v>1</v>
      </c>
      <c r="Z120" t="b">
        <v>1</v>
      </c>
      <c r="AA120" t="b">
        <v>1</v>
      </c>
      <c r="AB120" t="s">
        <v>282</v>
      </c>
      <c r="AC120" t="s">
        <v>283</v>
      </c>
    </row>
    <row r="121" spans="1:29" x14ac:dyDescent="0.25">
      <c r="A121" t="s">
        <v>135</v>
      </c>
      <c r="B121" t="s">
        <v>64</v>
      </c>
      <c r="C121" t="s">
        <v>65</v>
      </c>
      <c r="D121" t="s">
        <v>78</v>
      </c>
      <c r="E121" t="s">
        <v>66</v>
      </c>
      <c r="F121">
        <v>261</v>
      </c>
      <c r="G121">
        <v>380.5</v>
      </c>
      <c r="H121">
        <v>99311.32</v>
      </c>
      <c r="I121">
        <v>0.23130000000000001</v>
      </c>
      <c r="J121">
        <v>99310.5</v>
      </c>
      <c r="K121">
        <v>0.82000000000698492</v>
      </c>
      <c r="L121">
        <v>76337.61</v>
      </c>
      <c r="M121">
        <v>76340.611699999994</v>
      </c>
      <c r="N121">
        <v>3.0016840000025695</v>
      </c>
      <c r="O121">
        <v>3670.2</v>
      </c>
      <c r="P121">
        <v>80007.820000000007</v>
      </c>
      <c r="Q121">
        <v>80007.81</v>
      </c>
      <c r="R121">
        <v>1.0000000009313226E-2</v>
      </c>
      <c r="S121">
        <v>916051.34</v>
      </c>
      <c r="T121">
        <v>76337.61</v>
      </c>
      <c r="U121">
        <v>916051.32</v>
      </c>
      <c r="V121">
        <v>1.999999990221113E-2</v>
      </c>
      <c r="W121" t="b">
        <v>1</v>
      </c>
      <c r="X121" t="b">
        <v>1</v>
      </c>
      <c r="Y121" t="b">
        <v>1</v>
      </c>
      <c r="Z121" t="b">
        <v>1</v>
      </c>
      <c r="AA121" t="b">
        <v>1</v>
      </c>
      <c r="AB121" t="s">
        <v>282</v>
      </c>
      <c r="AC121" t="s">
        <v>283</v>
      </c>
    </row>
    <row r="122" spans="1:29" x14ac:dyDescent="0.25">
      <c r="A122" t="s">
        <v>135</v>
      </c>
      <c r="B122" t="s">
        <v>67</v>
      </c>
      <c r="C122" t="s">
        <v>68</v>
      </c>
      <c r="D122" t="s">
        <v>78</v>
      </c>
      <c r="E122" t="s">
        <v>69</v>
      </c>
      <c r="F122">
        <v>109</v>
      </c>
      <c r="G122">
        <v>1022.08</v>
      </c>
      <c r="H122">
        <v>111406.45</v>
      </c>
      <c r="I122">
        <v>0.1477</v>
      </c>
      <c r="J122">
        <v>111406.72</v>
      </c>
      <c r="K122">
        <v>0.27000000000407454</v>
      </c>
      <c r="L122">
        <v>94949.97</v>
      </c>
      <c r="M122">
        <v>94951.717300000004</v>
      </c>
      <c r="N122">
        <v>1.747334999992745</v>
      </c>
      <c r="O122">
        <v>-7204.01</v>
      </c>
      <c r="P122">
        <v>87745.96</v>
      </c>
      <c r="Q122">
        <v>87745.96</v>
      </c>
      <c r="R122">
        <v>0</v>
      </c>
      <c r="S122">
        <v>1139399.6100000001</v>
      </c>
      <c r="T122">
        <v>94949.97</v>
      </c>
      <c r="U122">
        <v>1139399.6399999999</v>
      </c>
      <c r="V122">
        <v>3.0000000027939677E-2</v>
      </c>
      <c r="W122" t="b">
        <v>1</v>
      </c>
      <c r="X122" t="b">
        <v>1</v>
      </c>
      <c r="Y122" t="b">
        <v>1</v>
      </c>
      <c r="Z122" t="b">
        <v>1</v>
      </c>
      <c r="AA122" t="b">
        <v>1</v>
      </c>
      <c r="AB122" t="s">
        <v>282</v>
      </c>
      <c r="AC122" t="s">
        <v>283</v>
      </c>
    </row>
    <row r="123" spans="1:29" x14ac:dyDescent="0.25">
      <c r="A123" t="s">
        <v>135</v>
      </c>
      <c r="B123" t="s">
        <v>67</v>
      </c>
      <c r="C123" t="s">
        <v>62</v>
      </c>
      <c r="D123" t="s">
        <v>78</v>
      </c>
      <c r="E123" t="s">
        <v>69</v>
      </c>
      <c r="F123">
        <v>114</v>
      </c>
      <c r="G123">
        <v>608.54999999999995</v>
      </c>
      <c r="H123">
        <v>69374.47</v>
      </c>
      <c r="I123">
        <v>0.20030000000000001</v>
      </c>
      <c r="J123">
        <v>69374.7</v>
      </c>
      <c r="K123">
        <v>0.22999999999592546</v>
      </c>
      <c r="L123">
        <v>55478.58</v>
      </c>
      <c r="M123">
        <v>55478.763700000003</v>
      </c>
      <c r="N123">
        <v>0.18365900000208057</v>
      </c>
      <c r="O123">
        <v>6103</v>
      </c>
      <c r="P123">
        <v>61581.58</v>
      </c>
      <c r="Q123">
        <v>61581.58</v>
      </c>
      <c r="R123">
        <v>0</v>
      </c>
      <c r="S123">
        <v>665742.98</v>
      </c>
      <c r="T123">
        <v>55478.58</v>
      </c>
      <c r="U123">
        <v>665742.96</v>
      </c>
      <c r="V123">
        <v>2.0000000018626451E-2</v>
      </c>
      <c r="W123" t="b">
        <v>1</v>
      </c>
      <c r="X123" t="b">
        <v>1</v>
      </c>
      <c r="Y123" t="b">
        <v>1</v>
      </c>
      <c r="Z123" t="b">
        <v>1</v>
      </c>
      <c r="AA123" t="b">
        <v>1</v>
      </c>
      <c r="AB123" t="s">
        <v>282</v>
      </c>
      <c r="AC123" t="s">
        <v>283</v>
      </c>
    </row>
    <row r="124" spans="1:29" x14ac:dyDescent="0.25">
      <c r="A124" t="s">
        <v>135</v>
      </c>
      <c r="B124" t="s">
        <v>61</v>
      </c>
      <c r="C124" t="s">
        <v>68</v>
      </c>
      <c r="D124" t="s">
        <v>75</v>
      </c>
      <c r="E124" t="s">
        <v>66</v>
      </c>
      <c r="F124">
        <v>178</v>
      </c>
      <c r="G124">
        <v>1131.83</v>
      </c>
      <c r="H124">
        <v>201466.59</v>
      </c>
      <c r="I124">
        <v>0.2324</v>
      </c>
      <c r="J124">
        <v>201465.74</v>
      </c>
      <c r="K124">
        <v>0.85000000000582077</v>
      </c>
      <c r="L124">
        <v>154655.48000000001</v>
      </c>
      <c r="M124">
        <v>154645.75450000001</v>
      </c>
      <c r="N124">
        <v>9.7255160000058822</v>
      </c>
      <c r="O124">
        <v>-5920.45</v>
      </c>
      <c r="P124">
        <v>148735.03</v>
      </c>
      <c r="Q124">
        <v>148735.03</v>
      </c>
      <c r="R124">
        <v>0</v>
      </c>
      <c r="S124">
        <v>1855865.79</v>
      </c>
      <c r="T124">
        <v>154655.48000000001</v>
      </c>
      <c r="U124">
        <v>1855865.76</v>
      </c>
      <c r="V124">
        <v>2.9999999795109034E-2</v>
      </c>
      <c r="W124" t="b">
        <v>1</v>
      </c>
      <c r="X124" t="b">
        <v>1</v>
      </c>
      <c r="Y124" t="b">
        <v>1</v>
      </c>
      <c r="Z124" t="b">
        <v>1</v>
      </c>
      <c r="AA124" t="b">
        <v>1</v>
      </c>
      <c r="AB124" t="s">
        <v>282</v>
      </c>
      <c r="AC124" t="s">
        <v>283</v>
      </c>
    </row>
    <row r="125" spans="1:29" x14ac:dyDescent="0.25">
      <c r="A125" t="s">
        <v>135</v>
      </c>
      <c r="B125" t="s">
        <v>61</v>
      </c>
      <c r="C125" t="s">
        <v>62</v>
      </c>
      <c r="D125" t="s">
        <v>81</v>
      </c>
      <c r="E125" t="s">
        <v>63</v>
      </c>
      <c r="F125">
        <v>199</v>
      </c>
      <c r="G125">
        <v>243.1</v>
      </c>
      <c r="H125">
        <v>48376.9</v>
      </c>
      <c r="I125">
        <v>0.125</v>
      </c>
      <c r="J125">
        <v>48376.9</v>
      </c>
      <c r="K125">
        <v>0</v>
      </c>
      <c r="L125">
        <v>42330.16</v>
      </c>
      <c r="M125">
        <v>42329.787499999999</v>
      </c>
      <c r="N125">
        <v>0.37250000000494765</v>
      </c>
      <c r="O125">
        <v>-1528.65</v>
      </c>
      <c r="P125">
        <v>40801.51</v>
      </c>
      <c r="Q125">
        <v>40801.51</v>
      </c>
      <c r="R125">
        <v>0</v>
      </c>
      <c r="S125">
        <v>507961.93</v>
      </c>
      <c r="T125">
        <v>42330.16</v>
      </c>
      <c r="U125">
        <v>507961.92</v>
      </c>
      <c r="V125">
        <v>9.9999999511055648E-3</v>
      </c>
      <c r="W125" t="b">
        <v>1</v>
      </c>
      <c r="X125" t="b">
        <v>1</v>
      </c>
      <c r="Y125" t="b">
        <v>1</v>
      </c>
      <c r="Z125" t="b">
        <v>1</v>
      </c>
      <c r="AA125" t="b">
        <v>1</v>
      </c>
      <c r="AB125" t="s">
        <v>282</v>
      </c>
      <c r="AC125" t="s">
        <v>283</v>
      </c>
    </row>
    <row r="126" spans="1:29" x14ac:dyDescent="0.25">
      <c r="A126" t="s">
        <v>135</v>
      </c>
      <c r="B126" t="s">
        <v>61</v>
      </c>
      <c r="C126" t="s">
        <v>65</v>
      </c>
      <c r="D126" t="s">
        <v>81</v>
      </c>
      <c r="E126" t="s">
        <v>63</v>
      </c>
      <c r="F126">
        <v>104</v>
      </c>
      <c r="G126">
        <v>352.89</v>
      </c>
      <c r="H126">
        <v>36700.5</v>
      </c>
      <c r="I126">
        <v>0.20710000000000001</v>
      </c>
      <c r="J126">
        <v>36700.559999999998</v>
      </c>
      <c r="K126">
        <v>5.9999999997671694E-2</v>
      </c>
      <c r="L126">
        <v>29098.05</v>
      </c>
      <c r="M126">
        <v>29099.826400000002</v>
      </c>
      <c r="N126">
        <v>1.7764500000012049</v>
      </c>
      <c r="O126">
        <v>2134.3000000000002</v>
      </c>
      <c r="P126">
        <v>31232.35</v>
      </c>
      <c r="Q126">
        <v>31232.35</v>
      </c>
      <c r="R126">
        <v>0</v>
      </c>
      <c r="S126">
        <v>349176.57</v>
      </c>
      <c r="T126">
        <v>29098.05</v>
      </c>
      <c r="U126">
        <v>349176.6</v>
      </c>
      <c r="V126">
        <v>2.9999999969732016E-2</v>
      </c>
      <c r="W126" t="b">
        <v>1</v>
      </c>
      <c r="X126" t="b">
        <v>1</v>
      </c>
      <c r="Y126" t="b">
        <v>1</v>
      </c>
      <c r="Z126" t="b">
        <v>1</v>
      </c>
      <c r="AA126" t="b">
        <v>1</v>
      </c>
      <c r="AB126" t="s">
        <v>282</v>
      </c>
      <c r="AC126" t="s">
        <v>283</v>
      </c>
    </row>
    <row r="127" spans="1:29" x14ac:dyDescent="0.25">
      <c r="A127" t="s">
        <v>135</v>
      </c>
      <c r="B127" t="s">
        <v>67</v>
      </c>
      <c r="C127" t="s">
        <v>65</v>
      </c>
      <c r="D127" t="s">
        <v>81</v>
      </c>
      <c r="E127" t="s">
        <v>66</v>
      </c>
      <c r="F127">
        <v>152</v>
      </c>
      <c r="G127">
        <v>1095.17</v>
      </c>
      <c r="H127">
        <v>166465.49</v>
      </c>
      <c r="I127">
        <v>0.13689999999999999</v>
      </c>
      <c r="J127">
        <v>166465.84000000003</v>
      </c>
      <c r="K127">
        <v>0.3500000000349246</v>
      </c>
      <c r="L127">
        <v>143682.39000000001</v>
      </c>
      <c r="M127">
        <v>143676.36439999999</v>
      </c>
      <c r="N127">
        <v>6.0255810000235215</v>
      </c>
      <c r="O127">
        <v>-13447.78</v>
      </c>
      <c r="P127">
        <v>130234.61</v>
      </c>
      <c r="Q127">
        <v>130234.61</v>
      </c>
      <c r="R127">
        <v>1.4551915228366852E-11</v>
      </c>
      <c r="S127">
        <v>1724188.73</v>
      </c>
      <c r="T127">
        <v>143682.39000000001</v>
      </c>
      <c r="U127">
        <v>1724188.68</v>
      </c>
      <c r="V127">
        <v>4.9999999813735485E-2</v>
      </c>
      <c r="W127" t="b">
        <v>1</v>
      </c>
      <c r="X127" t="b">
        <v>1</v>
      </c>
      <c r="Y127" t="b">
        <v>1</v>
      </c>
      <c r="Z127" t="b">
        <v>1</v>
      </c>
      <c r="AA127" t="b">
        <v>1</v>
      </c>
      <c r="AB127" t="s">
        <v>282</v>
      </c>
      <c r="AC127" t="s">
        <v>283</v>
      </c>
    </row>
    <row r="128" spans="1:29" x14ac:dyDescent="0.25">
      <c r="A128" t="s">
        <v>136</v>
      </c>
      <c r="B128" t="s">
        <v>64</v>
      </c>
      <c r="C128" t="s">
        <v>65</v>
      </c>
      <c r="D128" t="s">
        <v>75</v>
      </c>
      <c r="E128" t="s">
        <v>66</v>
      </c>
      <c r="F128">
        <v>72</v>
      </c>
      <c r="G128">
        <v>832.62</v>
      </c>
      <c r="H128">
        <v>59948.63</v>
      </c>
      <c r="I128">
        <v>8.1799999999999998E-2</v>
      </c>
      <c r="J128">
        <v>59948.639999999999</v>
      </c>
      <c r="K128">
        <v>1.0000000002037268E-2</v>
      </c>
      <c r="L128">
        <v>55046.79</v>
      </c>
      <c r="M128">
        <v>55044.8321</v>
      </c>
      <c r="N128">
        <v>1.9579340000054799</v>
      </c>
      <c r="O128">
        <v>1299.06</v>
      </c>
      <c r="P128">
        <v>56345.85</v>
      </c>
      <c r="Q128">
        <v>56345.85</v>
      </c>
      <c r="R128">
        <v>0</v>
      </c>
      <c r="S128">
        <v>660561.42000000004</v>
      </c>
      <c r="T128">
        <v>55046.79</v>
      </c>
      <c r="U128">
        <v>660561.48</v>
      </c>
      <c r="V128">
        <v>5.9999999939464033E-2</v>
      </c>
      <c r="W128" t="b">
        <v>1</v>
      </c>
      <c r="X128" t="b">
        <v>1</v>
      </c>
      <c r="Y128" t="b">
        <v>1</v>
      </c>
      <c r="Z128" t="b">
        <v>1</v>
      </c>
      <c r="AA128" t="b">
        <v>1</v>
      </c>
      <c r="AB128" t="s">
        <v>282</v>
      </c>
      <c r="AC128" t="s">
        <v>283</v>
      </c>
    </row>
    <row r="129" spans="1:29" x14ac:dyDescent="0.25">
      <c r="A129" t="s">
        <v>136</v>
      </c>
      <c r="B129" t="s">
        <v>64</v>
      </c>
      <c r="C129" t="s">
        <v>68</v>
      </c>
      <c r="D129" t="s">
        <v>75</v>
      </c>
      <c r="E129" t="s">
        <v>66</v>
      </c>
      <c r="F129">
        <v>223</v>
      </c>
      <c r="G129">
        <v>889.74</v>
      </c>
      <c r="H129">
        <v>198412.79</v>
      </c>
      <c r="I129">
        <v>1.67E-2</v>
      </c>
      <c r="J129">
        <v>198412.02</v>
      </c>
      <c r="K129">
        <v>0.77000000001862645</v>
      </c>
      <c r="L129">
        <v>195090.31</v>
      </c>
      <c r="M129">
        <v>195099.29639999999</v>
      </c>
      <c r="N129">
        <v>8.9864070000185166</v>
      </c>
      <c r="O129">
        <v>12496.63</v>
      </c>
      <c r="P129">
        <v>207586.94</v>
      </c>
      <c r="Q129">
        <v>207586.94</v>
      </c>
      <c r="R129">
        <v>0</v>
      </c>
      <c r="S129">
        <v>2341083.7200000002</v>
      </c>
      <c r="T129">
        <v>195090.31</v>
      </c>
      <c r="U129">
        <v>2341083.7200000002</v>
      </c>
      <c r="V129">
        <v>4.6566128730773926E-10</v>
      </c>
      <c r="W129" t="b">
        <v>1</v>
      </c>
      <c r="X129" t="b">
        <v>1</v>
      </c>
      <c r="Y129" t="b">
        <v>1</v>
      </c>
      <c r="Z129" t="b">
        <v>1</v>
      </c>
      <c r="AA129" t="b">
        <v>1</v>
      </c>
      <c r="AB129" t="s">
        <v>282</v>
      </c>
      <c r="AC129" t="s">
        <v>283</v>
      </c>
    </row>
    <row r="130" spans="1:29" x14ac:dyDescent="0.25">
      <c r="A130" t="s">
        <v>136</v>
      </c>
      <c r="B130" t="s">
        <v>64</v>
      </c>
      <c r="C130" t="s">
        <v>62</v>
      </c>
      <c r="D130" t="s">
        <v>75</v>
      </c>
      <c r="E130" t="s">
        <v>66</v>
      </c>
      <c r="F130">
        <v>191</v>
      </c>
      <c r="G130">
        <v>1137.24</v>
      </c>
      <c r="H130">
        <v>217212.76</v>
      </c>
      <c r="I130">
        <v>5.8999999999999997E-2</v>
      </c>
      <c r="J130">
        <v>217212.84</v>
      </c>
      <c r="K130">
        <v>7.9999999987194315E-2</v>
      </c>
      <c r="L130">
        <v>204404.73</v>
      </c>
      <c r="M130">
        <v>204397.2072</v>
      </c>
      <c r="N130">
        <v>7.5228399999905378</v>
      </c>
      <c r="O130">
        <v>867.15</v>
      </c>
      <c r="P130">
        <v>205271.88</v>
      </c>
      <c r="Q130">
        <v>205271.88</v>
      </c>
      <c r="R130">
        <v>0</v>
      </c>
      <c r="S130">
        <v>2452856.75</v>
      </c>
      <c r="T130">
        <v>204404.73</v>
      </c>
      <c r="U130">
        <v>2452856.7599999998</v>
      </c>
      <c r="V130">
        <v>1.0000000242143869E-2</v>
      </c>
      <c r="W130" t="b">
        <v>1</v>
      </c>
      <c r="X130" t="b">
        <v>1</v>
      </c>
      <c r="Y130" t="b">
        <v>1</v>
      </c>
      <c r="Z130" t="b">
        <v>1</v>
      </c>
      <c r="AA130" t="b">
        <v>1</v>
      </c>
      <c r="AB130" t="s">
        <v>282</v>
      </c>
      <c r="AC130" t="s">
        <v>283</v>
      </c>
    </row>
    <row r="131" spans="1:29" x14ac:dyDescent="0.25">
      <c r="A131" t="s">
        <v>136</v>
      </c>
      <c r="B131" t="s">
        <v>67</v>
      </c>
      <c r="C131" t="s">
        <v>68</v>
      </c>
      <c r="D131" t="s">
        <v>75</v>
      </c>
      <c r="E131" t="s">
        <v>69</v>
      </c>
      <c r="F131">
        <v>64</v>
      </c>
      <c r="G131">
        <v>619.87</v>
      </c>
      <c r="H131">
        <v>39671.360000000001</v>
      </c>
      <c r="I131">
        <v>6.54E-2</v>
      </c>
      <c r="J131">
        <v>39671.68</v>
      </c>
      <c r="K131">
        <v>0.31999999999970896</v>
      </c>
      <c r="L131">
        <v>37075.199999999997</v>
      </c>
      <c r="M131">
        <v>37076.8531</v>
      </c>
      <c r="N131">
        <v>1.6530560000028345</v>
      </c>
      <c r="O131">
        <v>2959.52</v>
      </c>
      <c r="P131">
        <v>40034.730000000003</v>
      </c>
      <c r="Q131">
        <v>40034.720000000001</v>
      </c>
      <c r="R131">
        <v>1.0000000009313226E-2</v>
      </c>
      <c r="S131">
        <v>444902.42</v>
      </c>
      <c r="T131">
        <v>37075.199999999997</v>
      </c>
      <c r="U131">
        <v>444902.40000000002</v>
      </c>
      <c r="V131">
        <v>2.0000000018626451E-2</v>
      </c>
      <c r="W131" t="b">
        <v>1</v>
      </c>
      <c r="X131" t="b">
        <v>1</v>
      </c>
      <c r="Y131" t="b">
        <v>1</v>
      </c>
      <c r="Z131" t="b">
        <v>1</v>
      </c>
      <c r="AA131" t="b">
        <v>1</v>
      </c>
      <c r="AB131" t="s">
        <v>282</v>
      </c>
      <c r="AC131" t="s">
        <v>283</v>
      </c>
    </row>
    <row r="132" spans="1:29" x14ac:dyDescent="0.25">
      <c r="A132" t="s">
        <v>136</v>
      </c>
      <c r="B132" t="s">
        <v>67</v>
      </c>
      <c r="C132" t="s">
        <v>62</v>
      </c>
      <c r="D132" t="s">
        <v>75</v>
      </c>
      <c r="E132" t="s">
        <v>69</v>
      </c>
      <c r="F132">
        <v>188</v>
      </c>
      <c r="G132">
        <v>533.82000000000005</v>
      </c>
      <c r="H132">
        <v>100358.94</v>
      </c>
      <c r="I132">
        <v>0.19839999999999999</v>
      </c>
      <c r="J132">
        <v>100358.16</v>
      </c>
      <c r="K132">
        <v>0.77999999999883585</v>
      </c>
      <c r="L132">
        <v>80448.67</v>
      </c>
      <c r="M132">
        <v>80447.726299999995</v>
      </c>
      <c r="N132">
        <v>0.94369599998753984</v>
      </c>
      <c r="O132">
        <v>-5559.71</v>
      </c>
      <c r="P132">
        <v>74888.960000000006</v>
      </c>
      <c r="Q132">
        <v>74888.960000000006</v>
      </c>
      <c r="R132">
        <v>1.4551915228366852E-11</v>
      </c>
      <c r="S132">
        <v>965383.99</v>
      </c>
      <c r="T132">
        <v>80448.67</v>
      </c>
      <c r="U132">
        <v>965384.04</v>
      </c>
      <c r="V132">
        <v>5.0000000046566129E-2</v>
      </c>
      <c r="W132" t="b">
        <v>1</v>
      </c>
      <c r="X132" t="b">
        <v>1</v>
      </c>
      <c r="Y132" t="b">
        <v>1</v>
      </c>
      <c r="Z132" t="b">
        <v>1</v>
      </c>
      <c r="AA132" t="b">
        <v>1</v>
      </c>
      <c r="AB132" t="s">
        <v>282</v>
      </c>
      <c r="AC132" t="s">
        <v>283</v>
      </c>
    </row>
    <row r="133" spans="1:29" x14ac:dyDescent="0.25">
      <c r="A133" t="s">
        <v>136</v>
      </c>
      <c r="B133" t="s">
        <v>67</v>
      </c>
      <c r="C133" t="s">
        <v>65</v>
      </c>
      <c r="D133" t="s">
        <v>78</v>
      </c>
      <c r="E133" t="s">
        <v>63</v>
      </c>
      <c r="F133">
        <v>199</v>
      </c>
      <c r="G133">
        <v>485.61</v>
      </c>
      <c r="H133">
        <v>96636.11</v>
      </c>
      <c r="I133">
        <v>0.13730000000000001</v>
      </c>
      <c r="J133">
        <v>96636.39</v>
      </c>
      <c r="K133">
        <v>0.27999999999883585</v>
      </c>
      <c r="L133">
        <v>83367.37</v>
      </c>
      <c r="M133">
        <v>83367.972099999999</v>
      </c>
      <c r="N133">
        <v>0.60209700000996236</v>
      </c>
      <c r="O133">
        <v>-5238.32</v>
      </c>
      <c r="P133">
        <v>78129.05</v>
      </c>
      <c r="Q133">
        <v>78129.05</v>
      </c>
      <c r="R133">
        <v>1.4551915228366852E-11</v>
      </c>
      <c r="S133">
        <v>1000408.45</v>
      </c>
      <c r="T133">
        <v>83367.37</v>
      </c>
      <c r="U133">
        <v>1000408.44</v>
      </c>
      <c r="V133">
        <v>1.0000000009313226E-2</v>
      </c>
      <c r="W133" t="b">
        <v>1</v>
      </c>
      <c r="X133" t="b">
        <v>1</v>
      </c>
      <c r="Y133" t="b">
        <v>1</v>
      </c>
      <c r="Z133" t="b">
        <v>1</v>
      </c>
      <c r="AA133" t="b">
        <v>1</v>
      </c>
      <c r="AB133" t="s">
        <v>282</v>
      </c>
      <c r="AC133" t="s">
        <v>283</v>
      </c>
    </row>
    <row r="134" spans="1:29" x14ac:dyDescent="0.25">
      <c r="A134" t="s">
        <v>136</v>
      </c>
      <c r="B134" t="s">
        <v>61</v>
      </c>
      <c r="C134" t="s">
        <v>68</v>
      </c>
      <c r="D134" t="s">
        <v>75</v>
      </c>
      <c r="E134" t="s">
        <v>66</v>
      </c>
      <c r="F134">
        <v>98</v>
      </c>
      <c r="G134">
        <v>393.5</v>
      </c>
      <c r="H134">
        <v>38562.9</v>
      </c>
      <c r="I134">
        <v>5.3600000000000002E-2</v>
      </c>
      <c r="J134">
        <v>38563</v>
      </c>
      <c r="K134">
        <v>9.9999999998544808E-2</v>
      </c>
      <c r="L134">
        <v>36496.480000000003</v>
      </c>
      <c r="M134">
        <v>36495.928599999999</v>
      </c>
      <c r="N134">
        <v>0.55144000000291271</v>
      </c>
      <c r="O134">
        <v>477.3</v>
      </c>
      <c r="P134">
        <v>36973.78</v>
      </c>
      <c r="Q134">
        <v>36973.78</v>
      </c>
      <c r="R134">
        <v>7.2759576141834259E-12</v>
      </c>
      <c r="S134">
        <v>437957.72</v>
      </c>
      <c r="T134">
        <v>36496.480000000003</v>
      </c>
      <c r="U134">
        <v>437957.76</v>
      </c>
      <c r="V134">
        <v>4.0000000037252903E-2</v>
      </c>
      <c r="W134" t="b">
        <v>1</v>
      </c>
      <c r="X134" t="b">
        <v>1</v>
      </c>
      <c r="Y134" t="b">
        <v>1</v>
      </c>
      <c r="Z134" t="b">
        <v>1</v>
      </c>
      <c r="AA134" t="b">
        <v>1</v>
      </c>
      <c r="AB134" t="s">
        <v>282</v>
      </c>
      <c r="AC134" t="s">
        <v>283</v>
      </c>
    </row>
    <row r="135" spans="1:29" x14ac:dyDescent="0.25">
      <c r="A135" t="s">
        <v>136</v>
      </c>
      <c r="B135" t="s">
        <v>61</v>
      </c>
      <c r="C135" t="s">
        <v>62</v>
      </c>
      <c r="D135" t="s">
        <v>78</v>
      </c>
      <c r="E135" t="s">
        <v>63</v>
      </c>
      <c r="F135">
        <v>196</v>
      </c>
      <c r="G135">
        <v>1155.55</v>
      </c>
      <c r="H135">
        <v>226488.03</v>
      </c>
      <c r="I135">
        <v>0.15609999999999999</v>
      </c>
      <c r="J135">
        <v>226487.8</v>
      </c>
      <c r="K135">
        <v>0.23000000001047738</v>
      </c>
      <c r="L135">
        <v>191123.38</v>
      </c>
      <c r="M135">
        <v>191133.24849999999</v>
      </c>
      <c r="N135">
        <v>9.8685169999953359</v>
      </c>
      <c r="O135">
        <v>26175.99</v>
      </c>
      <c r="P135">
        <v>217299.37</v>
      </c>
      <c r="Q135">
        <v>217299.37</v>
      </c>
      <c r="R135">
        <v>0</v>
      </c>
      <c r="S135">
        <v>2293480.56</v>
      </c>
      <c r="T135">
        <v>191123.38</v>
      </c>
      <c r="U135">
        <v>2293480.56</v>
      </c>
      <c r="V135">
        <v>0</v>
      </c>
      <c r="W135" t="b">
        <v>1</v>
      </c>
      <c r="X135" t="b">
        <v>1</v>
      </c>
      <c r="Y135" t="b">
        <v>1</v>
      </c>
      <c r="Z135" t="b">
        <v>1</v>
      </c>
      <c r="AA135" t="b">
        <v>1</v>
      </c>
      <c r="AB135" t="s">
        <v>282</v>
      </c>
      <c r="AC135" t="s">
        <v>283</v>
      </c>
    </row>
    <row r="136" spans="1:29" x14ac:dyDescent="0.25">
      <c r="A136" t="s">
        <v>136</v>
      </c>
      <c r="B136" t="s">
        <v>61</v>
      </c>
      <c r="C136" t="s">
        <v>65</v>
      </c>
      <c r="D136" t="s">
        <v>75</v>
      </c>
      <c r="E136" t="s">
        <v>66</v>
      </c>
      <c r="F136">
        <v>113</v>
      </c>
      <c r="G136">
        <v>916.26</v>
      </c>
      <c r="H136">
        <v>103537.78</v>
      </c>
      <c r="I136">
        <v>0.22289999999999999</v>
      </c>
      <c r="J136">
        <v>103537.38</v>
      </c>
      <c r="K136">
        <v>0.39999999999417923</v>
      </c>
      <c r="L136">
        <v>80457.97</v>
      </c>
      <c r="M136">
        <v>80459.208799999993</v>
      </c>
      <c r="N136">
        <v>1.2388379999902099</v>
      </c>
      <c r="O136">
        <v>3765.92</v>
      </c>
      <c r="P136">
        <v>84223.89</v>
      </c>
      <c r="Q136">
        <v>84223.89</v>
      </c>
      <c r="R136">
        <v>0</v>
      </c>
      <c r="S136">
        <v>965495.7</v>
      </c>
      <c r="T136">
        <v>80457.97</v>
      </c>
      <c r="U136">
        <v>965495.64</v>
      </c>
      <c r="V136">
        <v>5.9999999939464033E-2</v>
      </c>
      <c r="W136" t="b">
        <v>1</v>
      </c>
      <c r="X136" t="b">
        <v>1</v>
      </c>
      <c r="Y136" t="b">
        <v>1</v>
      </c>
      <c r="Z136" t="b">
        <v>1</v>
      </c>
      <c r="AA136" t="b">
        <v>1</v>
      </c>
      <c r="AB136" t="s">
        <v>282</v>
      </c>
      <c r="AC136" t="s">
        <v>283</v>
      </c>
    </row>
    <row r="137" spans="1:29" x14ac:dyDescent="0.25">
      <c r="A137" t="s">
        <v>137</v>
      </c>
      <c r="B137" t="s">
        <v>64</v>
      </c>
      <c r="C137" t="s">
        <v>62</v>
      </c>
      <c r="D137" t="s">
        <v>78</v>
      </c>
      <c r="E137" t="s">
        <v>63</v>
      </c>
      <c r="F137">
        <v>239</v>
      </c>
      <c r="G137">
        <v>801.73</v>
      </c>
      <c r="H137">
        <v>191613.46</v>
      </c>
      <c r="I137">
        <v>0.248</v>
      </c>
      <c r="J137">
        <v>191613.47</v>
      </c>
      <c r="K137">
        <v>1.0000000009313226E-2</v>
      </c>
      <c r="L137">
        <v>144092.6</v>
      </c>
      <c r="M137">
        <v>144093.32190000001</v>
      </c>
      <c r="N137">
        <v>0.7219199999817647</v>
      </c>
      <c r="O137">
        <v>6074.24</v>
      </c>
      <c r="P137">
        <v>150166.84</v>
      </c>
      <c r="Q137">
        <v>150166.84</v>
      </c>
      <c r="R137">
        <v>0</v>
      </c>
      <c r="S137">
        <v>1729111.17</v>
      </c>
      <c r="T137">
        <v>144092.6</v>
      </c>
      <c r="U137">
        <v>1729111.2</v>
      </c>
      <c r="V137">
        <v>3.0000000260770321E-2</v>
      </c>
      <c r="W137" t="b">
        <v>1</v>
      </c>
      <c r="X137" t="b">
        <v>1</v>
      </c>
      <c r="Y137" t="b">
        <v>1</v>
      </c>
      <c r="Z137" t="b">
        <v>1</v>
      </c>
      <c r="AA137" t="b">
        <v>1</v>
      </c>
      <c r="AB137" t="s">
        <v>282</v>
      </c>
      <c r="AC137" t="s">
        <v>283</v>
      </c>
    </row>
    <row r="138" spans="1:29" x14ac:dyDescent="0.25">
      <c r="A138" t="s">
        <v>137</v>
      </c>
      <c r="B138" t="s">
        <v>64</v>
      </c>
      <c r="C138" t="s">
        <v>65</v>
      </c>
      <c r="D138" t="s">
        <v>81</v>
      </c>
      <c r="E138" t="s">
        <v>66</v>
      </c>
      <c r="F138">
        <v>131</v>
      </c>
      <c r="G138">
        <v>366.17</v>
      </c>
      <c r="H138">
        <v>47967.62</v>
      </c>
      <c r="I138">
        <v>1.9E-2</v>
      </c>
      <c r="J138">
        <v>47968.270000000004</v>
      </c>
      <c r="K138">
        <v>0.65000000000145519</v>
      </c>
      <c r="L138">
        <v>47055.33</v>
      </c>
      <c r="M138">
        <v>47056.235200000003</v>
      </c>
      <c r="N138">
        <v>0.90522000000055414</v>
      </c>
      <c r="O138">
        <v>-4372.25</v>
      </c>
      <c r="P138">
        <v>42683.08</v>
      </c>
      <c r="Q138">
        <v>42683.08</v>
      </c>
      <c r="R138">
        <v>0</v>
      </c>
      <c r="S138">
        <v>564663.98</v>
      </c>
      <c r="T138">
        <v>47055.33</v>
      </c>
      <c r="U138">
        <v>564663.96</v>
      </c>
      <c r="V138">
        <v>2.0000000018626451E-2</v>
      </c>
      <c r="W138" t="b">
        <v>1</v>
      </c>
      <c r="X138" t="b">
        <v>1</v>
      </c>
      <c r="Y138" t="b">
        <v>1</v>
      </c>
      <c r="Z138" t="b">
        <v>1</v>
      </c>
      <c r="AA138" t="b">
        <v>1</v>
      </c>
      <c r="AB138" t="s">
        <v>282</v>
      </c>
      <c r="AC138" t="s">
        <v>283</v>
      </c>
    </row>
    <row r="139" spans="1:29" x14ac:dyDescent="0.25">
      <c r="A139" t="s">
        <v>137</v>
      </c>
      <c r="B139" t="s">
        <v>67</v>
      </c>
      <c r="C139" t="s">
        <v>68</v>
      </c>
      <c r="D139" t="s">
        <v>78</v>
      </c>
      <c r="E139" t="s">
        <v>63</v>
      </c>
      <c r="F139">
        <v>76</v>
      </c>
      <c r="G139">
        <v>1171.54</v>
      </c>
      <c r="H139">
        <v>89037.42</v>
      </c>
      <c r="I139">
        <v>0.1678</v>
      </c>
      <c r="J139">
        <v>89037.04</v>
      </c>
      <c r="K139">
        <v>0.38000000000465661</v>
      </c>
      <c r="L139">
        <v>74099.13</v>
      </c>
      <c r="M139">
        <v>74096.940900000001</v>
      </c>
      <c r="N139">
        <v>2.1890760000096634</v>
      </c>
      <c r="O139">
        <v>1378.43</v>
      </c>
      <c r="P139">
        <v>75477.56</v>
      </c>
      <c r="Q139">
        <v>75477.56</v>
      </c>
      <c r="R139">
        <v>0</v>
      </c>
      <c r="S139">
        <v>889189.59</v>
      </c>
      <c r="T139">
        <v>74099.13</v>
      </c>
      <c r="U139">
        <v>889189.56</v>
      </c>
      <c r="V139">
        <v>2.9999999911524355E-2</v>
      </c>
      <c r="W139" t="b">
        <v>1</v>
      </c>
      <c r="X139" t="b">
        <v>1</v>
      </c>
      <c r="Y139" t="b">
        <v>1</v>
      </c>
      <c r="Z139" t="b">
        <v>1</v>
      </c>
      <c r="AA139" t="b">
        <v>1</v>
      </c>
      <c r="AB139" t="s">
        <v>282</v>
      </c>
      <c r="AC139" t="s">
        <v>283</v>
      </c>
    </row>
    <row r="140" spans="1:29" x14ac:dyDescent="0.25">
      <c r="A140" t="s">
        <v>137</v>
      </c>
      <c r="B140" t="s">
        <v>67</v>
      </c>
      <c r="C140" t="s">
        <v>62</v>
      </c>
      <c r="D140" t="s">
        <v>78</v>
      </c>
      <c r="E140" t="s">
        <v>63</v>
      </c>
      <c r="F140">
        <v>247</v>
      </c>
      <c r="G140">
        <v>1143.58</v>
      </c>
      <c r="H140">
        <v>282463.40999999997</v>
      </c>
      <c r="I140">
        <v>6.4199999999999993E-2</v>
      </c>
      <c r="J140">
        <v>282464.26</v>
      </c>
      <c r="K140">
        <v>0.8500000000349246</v>
      </c>
      <c r="L140">
        <v>264329.56</v>
      </c>
      <c r="M140">
        <v>264329.25910000002</v>
      </c>
      <c r="N140">
        <v>0.30092200002400205</v>
      </c>
      <c r="O140">
        <v>-26033.119999999999</v>
      </c>
      <c r="P140">
        <v>238296.45</v>
      </c>
      <c r="Q140">
        <v>238296.44</v>
      </c>
      <c r="R140">
        <v>1.0000000009313226E-2</v>
      </c>
      <c r="S140">
        <v>3171954.76</v>
      </c>
      <c r="T140">
        <v>264329.56</v>
      </c>
      <c r="U140">
        <v>3171954.72</v>
      </c>
      <c r="V140">
        <v>4.0000000037252903E-2</v>
      </c>
      <c r="W140" t="b">
        <v>1</v>
      </c>
      <c r="X140" t="b">
        <v>1</v>
      </c>
      <c r="Y140" t="b">
        <v>1</v>
      </c>
      <c r="Z140" t="b">
        <v>1</v>
      </c>
      <c r="AA140" t="b">
        <v>1</v>
      </c>
      <c r="AB140" t="s">
        <v>282</v>
      </c>
      <c r="AC140" t="s">
        <v>283</v>
      </c>
    </row>
    <row r="141" spans="1:29" x14ac:dyDescent="0.25">
      <c r="A141" t="s">
        <v>137</v>
      </c>
      <c r="B141" t="s">
        <v>64</v>
      </c>
      <c r="C141" t="s">
        <v>68</v>
      </c>
      <c r="D141" t="s">
        <v>78</v>
      </c>
      <c r="E141" t="s">
        <v>69</v>
      </c>
      <c r="F141">
        <v>168</v>
      </c>
      <c r="G141">
        <v>854.88</v>
      </c>
      <c r="H141">
        <v>143619.48000000001</v>
      </c>
      <c r="I141">
        <v>3.6600000000000001E-2</v>
      </c>
      <c r="J141">
        <v>143619.84</v>
      </c>
      <c r="K141">
        <v>0.35999999998603016</v>
      </c>
      <c r="L141">
        <v>138367.98000000001</v>
      </c>
      <c r="M141">
        <v>138363.00700000001</v>
      </c>
      <c r="N141">
        <v>4.9729679999873042</v>
      </c>
      <c r="O141">
        <v>-3282.41</v>
      </c>
      <c r="P141">
        <v>135085.57</v>
      </c>
      <c r="Q141">
        <v>135085.57</v>
      </c>
      <c r="R141">
        <v>0</v>
      </c>
      <c r="S141">
        <v>1660415.74</v>
      </c>
      <c r="T141">
        <v>138367.98000000001</v>
      </c>
      <c r="U141">
        <v>1660415.76</v>
      </c>
      <c r="V141">
        <v>2.0000000251457095E-2</v>
      </c>
      <c r="W141" t="b">
        <v>1</v>
      </c>
      <c r="X141" t="b">
        <v>1</v>
      </c>
      <c r="Y141" t="b">
        <v>1</v>
      </c>
      <c r="Z141" t="b">
        <v>1</v>
      </c>
      <c r="AA141" t="b">
        <v>1</v>
      </c>
      <c r="AB141" t="s">
        <v>282</v>
      </c>
      <c r="AC141" t="s">
        <v>283</v>
      </c>
    </row>
    <row r="142" spans="1:29" x14ac:dyDescent="0.25">
      <c r="A142" t="s">
        <v>137</v>
      </c>
      <c r="B142" t="s">
        <v>61</v>
      </c>
      <c r="C142" t="s">
        <v>68</v>
      </c>
      <c r="D142" t="s">
        <v>78</v>
      </c>
      <c r="E142" t="s">
        <v>66</v>
      </c>
      <c r="F142">
        <v>265</v>
      </c>
      <c r="G142">
        <v>1117.0899999999999</v>
      </c>
      <c r="H142">
        <v>296029.52</v>
      </c>
      <c r="I142">
        <v>3.39E-2</v>
      </c>
      <c r="J142">
        <v>296028.84999999998</v>
      </c>
      <c r="K142">
        <v>0.67000000004190952</v>
      </c>
      <c r="L142">
        <v>285996.7</v>
      </c>
      <c r="M142">
        <v>285994.11930000002</v>
      </c>
      <c r="N142">
        <v>2.5807279999717139</v>
      </c>
      <c r="O142">
        <v>20543.34</v>
      </c>
      <c r="P142">
        <v>306540.03999999998</v>
      </c>
      <c r="Q142">
        <v>306540.03999999998</v>
      </c>
      <c r="R142">
        <v>5.8207660913467407E-11</v>
      </c>
      <c r="S142">
        <v>3431960.41</v>
      </c>
      <c r="T142">
        <v>285996.7</v>
      </c>
      <c r="U142">
        <v>3431960.4</v>
      </c>
      <c r="V142">
        <v>9.9999997764825821E-3</v>
      </c>
      <c r="W142" t="b">
        <v>1</v>
      </c>
      <c r="X142" t="b">
        <v>1</v>
      </c>
      <c r="Y142" t="b">
        <v>1</v>
      </c>
      <c r="Z142" t="b">
        <v>1</v>
      </c>
      <c r="AA142" t="b">
        <v>1</v>
      </c>
      <c r="AB142" t="s">
        <v>282</v>
      </c>
      <c r="AC142" t="s">
        <v>283</v>
      </c>
    </row>
    <row r="143" spans="1:29" x14ac:dyDescent="0.25">
      <c r="A143" t="s">
        <v>137</v>
      </c>
      <c r="B143" t="s">
        <v>61</v>
      </c>
      <c r="C143" t="s">
        <v>62</v>
      </c>
      <c r="D143" t="s">
        <v>78</v>
      </c>
      <c r="E143" t="s">
        <v>69</v>
      </c>
      <c r="F143">
        <v>135</v>
      </c>
      <c r="G143">
        <v>319.77999999999997</v>
      </c>
      <c r="H143">
        <v>43169.97</v>
      </c>
      <c r="I143">
        <v>1.9E-2</v>
      </c>
      <c r="J143">
        <v>43170.299999999996</v>
      </c>
      <c r="K143">
        <v>0.32999999999447027</v>
      </c>
      <c r="L143">
        <v>42348.74</v>
      </c>
      <c r="M143">
        <v>42349.740599999997</v>
      </c>
      <c r="N143">
        <v>1.0005700000037905</v>
      </c>
      <c r="O143">
        <v>-1334.62</v>
      </c>
      <c r="P143">
        <v>41014.120000000003</v>
      </c>
      <c r="Q143">
        <v>41014.120000000003</v>
      </c>
      <c r="R143">
        <v>7.2759576141834259E-12</v>
      </c>
      <c r="S143">
        <v>508184.9</v>
      </c>
      <c r="T143">
        <v>42348.74</v>
      </c>
      <c r="U143">
        <v>508184.88</v>
      </c>
      <c r="V143">
        <v>2.0000000018626451E-2</v>
      </c>
      <c r="W143" t="b">
        <v>1</v>
      </c>
      <c r="X143" t="b">
        <v>1</v>
      </c>
      <c r="Y143" t="b">
        <v>1</v>
      </c>
      <c r="Z143" t="b">
        <v>1</v>
      </c>
      <c r="AA143" t="b">
        <v>1</v>
      </c>
      <c r="AB143" t="s">
        <v>282</v>
      </c>
      <c r="AC143" t="s">
        <v>283</v>
      </c>
    </row>
    <row r="144" spans="1:29" x14ac:dyDescent="0.25">
      <c r="A144" t="s">
        <v>137</v>
      </c>
      <c r="B144" t="s">
        <v>61</v>
      </c>
      <c r="C144" t="s">
        <v>65</v>
      </c>
      <c r="D144" t="s">
        <v>75</v>
      </c>
      <c r="E144" t="s">
        <v>63</v>
      </c>
      <c r="F144">
        <v>138</v>
      </c>
      <c r="G144">
        <v>648.62</v>
      </c>
      <c r="H144">
        <v>89509.97</v>
      </c>
      <c r="I144">
        <v>6.9000000000000006E-2</v>
      </c>
      <c r="J144">
        <v>89509.56</v>
      </c>
      <c r="K144">
        <v>0.41000000000349246</v>
      </c>
      <c r="L144">
        <v>83336.02</v>
      </c>
      <c r="M144">
        <v>83333.782099999997</v>
      </c>
      <c r="N144">
        <v>2.2379300000029616</v>
      </c>
      <c r="O144">
        <v>-7222.42</v>
      </c>
      <c r="P144">
        <v>76113.600000000006</v>
      </c>
      <c r="Q144">
        <v>76113.600000000006</v>
      </c>
      <c r="R144">
        <v>0</v>
      </c>
      <c r="S144">
        <v>1000032.26</v>
      </c>
      <c r="T144">
        <v>83336.02</v>
      </c>
      <c r="U144">
        <v>1000032.24</v>
      </c>
      <c r="V144">
        <v>2.0000000018626451E-2</v>
      </c>
      <c r="W144" t="b">
        <v>1</v>
      </c>
      <c r="X144" t="b">
        <v>1</v>
      </c>
      <c r="Y144" t="b">
        <v>1</v>
      </c>
      <c r="Z144" t="b">
        <v>1</v>
      </c>
      <c r="AA144" t="b">
        <v>1</v>
      </c>
      <c r="AB144" t="s">
        <v>282</v>
      </c>
      <c r="AC144" t="s">
        <v>283</v>
      </c>
    </row>
    <row r="145" spans="1:29" x14ac:dyDescent="0.25">
      <c r="A145" t="s">
        <v>137</v>
      </c>
      <c r="B145" t="s">
        <v>67</v>
      </c>
      <c r="C145" t="s">
        <v>65</v>
      </c>
      <c r="D145" t="s">
        <v>75</v>
      </c>
      <c r="E145" t="s">
        <v>66</v>
      </c>
      <c r="F145">
        <v>138</v>
      </c>
      <c r="G145">
        <v>824.23</v>
      </c>
      <c r="H145">
        <v>113743.46</v>
      </c>
      <c r="I145">
        <v>0.15390000000000001</v>
      </c>
      <c r="J145">
        <v>113743.74</v>
      </c>
      <c r="K145">
        <v>0.27999999999883585</v>
      </c>
      <c r="L145">
        <v>96242.1</v>
      </c>
      <c r="M145">
        <v>96238.341499999995</v>
      </c>
      <c r="N145">
        <v>3.7584940000087954</v>
      </c>
      <c r="O145">
        <v>-5098.8500000000004</v>
      </c>
      <c r="P145">
        <v>91143.25</v>
      </c>
      <c r="Q145">
        <v>91143.25</v>
      </c>
      <c r="R145">
        <v>0</v>
      </c>
      <c r="S145">
        <v>1154905.23</v>
      </c>
      <c r="T145">
        <v>96242.1</v>
      </c>
      <c r="U145">
        <v>1154905.2</v>
      </c>
      <c r="V145">
        <v>2.9999999795109034E-2</v>
      </c>
      <c r="W145" t="b">
        <v>1</v>
      </c>
      <c r="X145" t="b">
        <v>1</v>
      </c>
      <c r="Y145" t="b">
        <v>1</v>
      </c>
      <c r="Z145" t="b">
        <v>1</v>
      </c>
      <c r="AA145" t="b">
        <v>1</v>
      </c>
      <c r="AB145" t="s">
        <v>282</v>
      </c>
      <c r="AC145" t="s">
        <v>283</v>
      </c>
    </row>
    <row r="146" spans="1:29" x14ac:dyDescent="0.25">
      <c r="A146" t="s">
        <v>138</v>
      </c>
      <c r="B146" t="s">
        <v>64</v>
      </c>
      <c r="C146" t="s">
        <v>68</v>
      </c>
      <c r="D146" t="s">
        <v>78</v>
      </c>
      <c r="E146" t="s">
        <v>69</v>
      </c>
      <c r="F146">
        <v>229</v>
      </c>
      <c r="G146">
        <v>208.38</v>
      </c>
      <c r="H146">
        <v>47718.239999999998</v>
      </c>
      <c r="I146">
        <v>0.22509999999999999</v>
      </c>
      <c r="J146">
        <v>47719.02</v>
      </c>
      <c r="K146">
        <v>0.77999999999883585</v>
      </c>
      <c r="L146">
        <v>36978.93</v>
      </c>
      <c r="M146">
        <v>36976.864200000004</v>
      </c>
      <c r="N146">
        <v>2.0658239999975194</v>
      </c>
      <c r="O146">
        <v>-3435.37</v>
      </c>
      <c r="P146">
        <v>33543.56</v>
      </c>
      <c r="Q146">
        <v>33543.56</v>
      </c>
      <c r="R146">
        <v>0</v>
      </c>
      <c r="S146">
        <v>443747.2</v>
      </c>
      <c r="T146">
        <v>36978.93</v>
      </c>
      <c r="U146">
        <v>443747.16</v>
      </c>
      <c r="V146">
        <v>3.9999999979045242E-2</v>
      </c>
      <c r="W146" t="b">
        <v>1</v>
      </c>
      <c r="X146" t="b">
        <v>1</v>
      </c>
      <c r="Y146" t="b">
        <v>1</v>
      </c>
      <c r="Z146" t="b">
        <v>1</v>
      </c>
      <c r="AA146" t="b">
        <v>1</v>
      </c>
      <c r="AB146" t="s">
        <v>282</v>
      </c>
      <c r="AC146" t="s">
        <v>283</v>
      </c>
    </row>
    <row r="147" spans="1:29" x14ac:dyDescent="0.25">
      <c r="A147" t="s">
        <v>138</v>
      </c>
      <c r="B147" t="s">
        <v>64</v>
      </c>
      <c r="C147" t="s">
        <v>62</v>
      </c>
      <c r="D147" t="s">
        <v>78</v>
      </c>
      <c r="E147" t="s">
        <v>66</v>
      </c>
      <c r="F147">
        <v>236</v>
      </c>
      <c r="G147">
        <v>919.86</v>
      </c>
      <c r="H147">
        <v>217087.32</v>
      </c>
      <c r="I147">
        <v>0.2155</v>
      </c>
      <c r="J147">
        <v>217086.96</v>
      </c>
      <c r="K147">
        <v>0.36000000001513399</v>
      </c>
      <c r="L147">
        <v>170307.57</v>
      </c>
      <c r="M147">
        <v>170305.0025</v>
      </c>
      <c r="N147">
        <v>2.5674599999911152</v>
      </c>
      <c r="O147">
        <v>17856.75</v>
      </c>
      <c r="P147">
        <v>188164.32</v>
      </c>
      <c r="Q147">
        <v>188164.32</v>
      </c>
      <c r="R147">
        <v>0</v>
      </c>
      <c r="S147">
        <v>2043690.88</v>
      </c>
      <c r="T147">
        <v>170307.57</v>
      </c>
      <c r="U147">
        <v>2043690.84</v>
      </c>
      <c r="V147">
        <v>3.9999999804422259E-2</v>
      </c>
      <c r="W147" t="b">
        <v>1</v>
      </c>
      <c r="X147" t="b">
        <v>1</v>
      </c>
      <c r="Y147" t="b">
        <v>1</v>
      </c>
      <c r="Z147" t="b">
        <v>1</v>
      </c>
      <c r="AA147" t="b">
        <v>1</v>
      </c>
      <c r="AB147" t="s">
        <v>282</v>
      </c>
      <c r="AC147" t="s">
        <v>283</v>
      </c>
    </row>
    <row r="148" spans="1:29" x14ac:dyDescent="0.25">
      <c r="A148" t="s">
        <v>138</v>
      </c>
      <c r="B148" t="s">
        <v>64</v>
      </c>
      <c r="C148" t="s">
        <v>65</v>
      </c>
      <c r="D148" t="s">
        <v>81</v>
      </c>
      <c r="E148" t="s">
        <v>66</v>
      </c>
      <c r="F148">
        <v>111</v>
      </c>
      <c r="G148">
        <v>641.67999999999995</v>
      </c>
      <c r="H148">
        <v>71226.460000000006</v>
      </c>
      <c r="I148">
        <v>9.9199999999999997E-2</v>
      </c>
      <c r="J148">
        <v>71226.48</v>
      </c>
      <c r="K148">
        <v>1.9999999989522621E-2</v>
      </c>
      <c r="L148">
        <v>64158.71</v>
      </c>
      <c r="M148">
        <v>64160.7952</v>
      </c>
      <c r="N148">
        <v>2.0851680000050692</v>
      </c>
      <c r="O148">
        <v>9142.08</v>
      </c>
      <c r="P148">
        <v>73300.789999999994</v>
      </c>
      <c r="Q148">
        <v>73300.789999999994</v>
      </c>
      <c r="R148">
        <v>0</v>
      </c>
      <c r="S148">
        <v>769904.54</v>
      </c>
      <c r="T148">
        <v>64158.71</v>
      </c>
      <c r="U148">
        <v>769904.52</v>
      </c>
      <c r="V148">
        <v>2.0000000018626451E-2</v>
      </c>
      <c r="W148" t="b">
        <v>1</v>
      </c>
      <c r="X148" t="b">
        <v>1</v>
      </c>
      <c r="Y148" t="b">
        <v>1</v>
      </c>
      <c r="Z148" t="b">
        <v>1</v>
      </c>
      <c r="AA148" t="b">
        <v>1</v>
      </c>
      <c r="AB148" t="s">
        <v>282</v>
      </c>
      <c r="AC148" t="s">
        <v>283</v>
      </c>
    </row>
    <row r="149" spans="1:29" x14ac:dyDescent="0.25">
      <c r="A149" t="s">
        <v>138</v>
      </c>
      <c r="B149" t="s">
        <v>67</v>
      </c>
      <c r="C149" t="s">
        <v>68</v>
      </c>
      <c r="D149" t="s">
        <v>78</v>
      </c>
      <c r="E149" t="s">
        <v>69</v>
      </c>
      <c r="F149">
        <v>57</v>
      </c>
      <c r="G149">
        <v>426.52</v>
      </c>
      <c r="H149">
        <v>24311.58</v>
      </c>
      <c r="I149">
        <v>0.18479999999999999</v>
      </c>
      <c r="J149">
        <v>24311.64</v>
      </c>
      <c r="K149">
        <v>5.9999999997671694E-2</v>
      </c>
      <c r="L149">
        <v>19818.03</v>
      </c>
      <c r="M149">
        <v>19818.8</v>
      </c>
      <c r="N149">
        <v>0.77001600000221515</v>
      </c>
      <c r="O149">
        <v>-171.03</v>
      </c>
      <c r="P149">
        <v>19647</v>
      </c>
      <c r="Q149">
        <v>19647</v>
      </c>
      <c r="R149">
        <v>0</v>
      </c>
      <c r="S149">
        <v>237816.36</v>
      </c>
      <c r="T149">
        <v>19818.03</v>
      </c>
      <c r="U149">
        <v>237816.36</v>
      </c>
      <c r="V149">
        <v>0</v>
      </c>
      <c r="W149" t="b">
        <v>1</v>
      </c>
      <c r="X149" t="b">
        <v>1</v>
      </c>
      <c r="Y149" t="b">
        <v>1</v>
      </c>
      <c r="Z149" t="b">
        <v>1</v>
      </c>
      <c r="AA149" t="b">
        <v>1</v>
      </c>
      <c r="AB149" t="s">
        <v>282</v>
      </c>
      <c r="AC149" t="s">
        <v>283</v>
      </c>
    </row>
    <row r="150" spans="1:29" x14ac:dyDescent="0.25">
      <c r="A150" t="s">
        <v>138</v>
      </c>
      <c r="B150" t="s">
        <v>67</v>
      </c>
      <c r="C150" t="s">
        <v>62</v>
      </c>
      <c r="D150" t="s">
        <v>75</v>
      </c>
      <c r="E150" t="s">
        <v>63</v>
      </c>
      <c r="F150">
        <v>246</v>
      </c>
      <c r="G150">
        <v>1151.46</v>
      </c>
      <c r="H150">
        <v>283260.21000000002</v>
      </c>
      <c r="I150">
        <v>0.16220000000000001</v>
      </c>
      <c r="J150">
        <v>283259.16000000003</v>
      </c>
      <c r="K150">
        <v>1.0499999999883585</v>
      </c>
      <c r="L150">
        <v>237314.83</v>
      </c>
      <c r="M150">
        <v>237315.4039</v>
      </c>
      <c r="N150">
        <v>0.57393800004501827</v>
      </c>
      <c r="O150">
        <v>4241.28</v>
      </c>
      <c r="P150">
        <v>241556.11</v>
      </c>
      <c r="Q150">
        <v>241556.11</v>
      </c>
      <c r="R150">
        <v>0</v>
      </c>
      <c r="S150">
        <v>2847777.93</v>
      </c>
      <c r="T150">
        <v>237314.83</v>
      </c>
      <c r="U150">
        <v>2847777.96</v>
      </c>
      <c r="V150">
        <v>2.9999999795109034E-2</v>
      </c>
      <c r="W150" t="b">
        <v>1</v>
      </c>
      <c r="X150" t="b">
        <v>1</v>
      </c>
      <c r="Y150" t="b">
        <v>1</v>
      </c>
      <c r="Z150" t="b">
        <v>1</v>
      </c>
      <c r="AA150" t="b">
        <v>1</v>
      </c>
      <c r="AB150" t="s">
        <v>282</v>
      </c>
      <c r="AC150" t="s">
        <v>283</v>
      </c>
    </row>
    <row r="151" spans="1:29" x14ac:dyDescent="0.25">
      <c r="A151" t="s">
        <v>138</v>
      </c>
      <c r="B151" t="s">
        <v>61</v>
      </c>
      <c r="C151" t="s">
        <v>68</v>
      </c>
      <c r="D151" t="s">
        <v>81</v>
      </c>
      <c r="E151" t="s">
        <v>69</v>
      </c>
      <c r="F151">
        <v>57</v>
      </c>
      <c r="G151">
        <v>1012.32</v>
      </c>
      <c r="H151">
        <v>57702.09</v>
      </c>
      <c r="I151">
        <v>3.7400000000000003E-2</v>
      </c>
      <c r="J151">
        <v>57702.240000000005</v>
      </c>
      <c r="K151">
        <v>0.15000000000873115</v>
      </c>
      <c r="L151">
        <v>55542.400000000001</v>
      </c>
      <c r="M151">
        <v>55544.031799999997</v>
      </c>
      <c r="N151">
        <v>1.6318339999925229</v>
      </c>
      <c r="O151">
        <v>-1683.85</v>
      </c>
      <c r="P151">
        <v>53858.55</v>
      </c>
      <c r="Q151">
        <v>53858.55</v>
      </c>
      <c r="R151">
        <v>0</v>
      </c>
      <c r="S151">
        <v>666508.75</v>
      </c>
      <c r="T151">
        <v>55542.400000000001</v>
      </c>
      <c r="U151">
        <v>666508.80000000005</v>
      </c>
      <c r="V151">
        <v>5.0000000046566129E-2</v>
      </c>
      <c r="W151" t="b">
        <v>1</v>
      </c>
      <c r="X151" t="b">
        <v>1</v>
      </c>
      <c r="Y151" t="b">
        <v>1</v>
      </c>
      <c r="Z151" t="b">
        <v>1</v>
      </c>
      <c r="AA151" t="b">
        <v>1</v>
      </c>
      <c r="AB151" t="s">
        <v>282</v>
      </c>
      <c r="AC151" t="s">
        <v>283</v>
      </c>
    </row>
    <row r="152" spans="1:29" x14ac:dyDescent="0.25">
      <c r="A152" t="s">
        <v>138</v>
      </c>
      <c r="B152" t="s">
        <v>61</v>
      </c>
      <c r="C152" t="s">
        <v>62</v>
      </c>
      <c r="D152" t="s">
        <v>81</v>
      </c>
      <c r="E152" t="s">
        <v>63</v>
      </c>
      <c r="F152">
        <v>70</v>
      </c>
      <c r="G152">
        <v>644.12</v>
      </c>
      <c r="H152">
        <v>45088.7</v>
      </c>
      <c r="I152">
        <v>8.5400000000000004E-2</v>
      </c>
      <c r="J152">
        <v>45088.4</v>
      </c>
      <c r="K152">
        <v>0.29999999999563443</v>
      </c>
      <c r="L152">
        <v>41237.39</v>
      </c>
      <c r="M152">
        <v>41238.125</v>
      </c>
      <c r="N152">
        <v>0.73502000000007683</v>
      </c>
      <c r="O152">
        <v>804.78</v>
      </c>
      <c r="P152">
        <v>42042.18</v>
      </c>
      <c r="Q152">
        <v>42042.17</v>
      </c>
      <c r="R152">
        <v>1.0000000002037268E-2</v>
      </c>
      <c r="S152">
        <v>494848.7</v>
      </c>
      <c r="T152">
        <v>41237.39</v>
      </c>
      <c r="U152">
        <v>494848.68</v>
      </c>
      <c r="V152">
        <v>2.0000000018626451E-2</v>
      </c>
      <c r="W152" t="b">
        <v>1</v>
      </c>
      <c r="X152" t="b">
        <v>1</v>
      </c>
      <c r="Y152" t="b">
        <v>1</v>
      </c>
      <c r="Z152" t="b">
        <v>1</v>
      </c>
      <c r="AA152" t="b">
        <v>1</v>
      </c>
      <c r="AB152" t="s">
        <v>282</v>
      </c>
      <c r="AC152" t="s">
        <v>283</v>
      </c>
    </row>
    <row r="153" spans="1:29" x14ac:dyDescent="0.25">
      <c r="A153" t="s">
        <v>138</v>
      </c>
      <c r="B153" t="s">
        <v>61</v>
      </c>
      <c r="C153" t="s">
        <v>65</v>
      </c>
      <c r="D153" t="s">
        <v>81</v>
      </c>
      <c r="E153" t="s">
        <v>63</v>
      </c>
      <c r="F153">
        <v>261</v>
      </c>
      <c r="G153">
        <v>435.38</v>
      </c>
      <c r="H153">
        <v>113633.33</v>
      </c>
      <c r="I153">
        <v>4.6699999999999998E-2</v>
      </c>
      <c r="J153">
        <v>113634.18</v>
      </c>
      <c r="K153">
        <v>0.84999999999126885</v>
      </c>
      <c r="L153">
        <v>108329.06</v>
      </c>
      <c r="M153">
        <v>108326.6535</v>
      </c>
      <c r="N153">
        <v>2.4065109999937704</v>
      </c>
      <c r="O153">
        <v>16114.13</v>
      </c>
      <c r="P153">
        <v>124443.19</v>
      </c>
      <c r="Q153">
        <v>124443.19</v>
      </c>
      <c r="R153">
        <v>0</v>
      </c>
      <c r="S153">
        <v>1299948.71</v>
      </c>
      <c r="T153">
        <v>108329.06</v>
      </c>
      <c r="U153">
        <v>1299948.72</v>
      </c>
      <c r="V153">
        <v>1.0000000009313226E-2</v>
      </c>
      <c r="W153" t="b">
        <v>1</v>
      </c>
      <c r="X153" t="b">
        <v>1</v>
      </c>
      <c r="Y153" t="b">
        <v>1</v>
      </c>
      <c r="Z153" t="b">
        <v>1</v>
      </c>
      <c r="AA153" t="b">
        <v>1</v>
      </c>
      <c r="AB153" t="s">
        <v>282</v>
      </c>
      <c r="AC153" t="s">
        <v>283</v>
      </c>
    </row>
    <row r="154" spans="1:29" x14ac:dyDescent="0.25">
      <c r="A154" t="s">
        <v>138</v>
      </c>
      <c r="B154" t="s">
        <v>67</v>
      </c>
      <c r="C154" t="s">
        <v>65</v>
      </c>
      <c r="D154" t="s">
        <v>81</v>
      </c>
      <c r="E154" t="s">
        <v>63</v>
      </c>
      <c r="F154">
        <v>230</v>
      </c>
      <c r="G154">
        <v>830.85</v>
      </c>
      <c r="H154">
        <v>191094.39</v>
      </c>
      <c r="I154">
        <v>0.122</v>
      </c>
      <c r="J154">
        <v>191095.5</v>
      </c>
      <c r="K154">
        <v>1.1099999999860302</v>
      </c>
      <c r="L154">
        <v>167787.71</v>
      </c>
      <c r="M154">
        <v>167780.8744</v>
      </c>
      <c r="N154">
        <v>6.8355799999844749</v>
      </c>
      <c r="O154">
        <v>18838.509999999998</v>
      </c>
      <c r="P154">
        <v>186626.22</v>
      </c>
      <c r="Q154">
        <v>186626.22</v>
      </c>
      <c r="R154">
        <v>0</v>
      </c>
      <c r="S154">
        <v>2013452.54</v>
      </c>
      <c r="T154">
        <v>167787.71</v>
      </c>
      <c r="U154">
        <v>2013452.52</v>
      </c>
      <c r="V154">
        <v>2.0000000018626451E-2</v>
      </c>
      <c r="W154" t="b">
        <v>1</v>
      </c>
      <c r="X154" t="b">
        <v>1</v>
      </c>
      <c r="Y154" t="b">
        <v>1</v>
      </c>
      <c r="Z154" t="b">
        <v>1</v>
      </c>
      <c r="AA154" t="b">
        <v>1</v>
      </c>
      <c r="AB154" t="s">
        <v>282</v>
      </c>
      <c r="AC154" t="s">
        <v>283</v>
      </c>
    </row>
    <row r="155" spans="1:29" x14ac:dyDescent="0.25">
      <c r="A155" t="s">
        <v>139</v>
      </c>
      <c r="B155" t="s">
        <v>67</v>
      </c>
      <c r="C155" t="s">
        <v>68</v>
      </c>
      <c r="D155" t="s">
        <v>75</v>
      </c>
      <c r="E155" t="s">
        <v>63</v>
      </c>
      <c r="F155">
        <v>243</v>
      </c>
      <c r="G155">
        <v>226.93</v>
      </c>
      <c r="H155">
        <v>55145.08</v>
      </c>
      <c r="I155">
        <v>4.3499999999999997E-2</v>
      </c>
      <c r="J155">
        <v>55143.990000000005</v>
      </c>
      <c r="K155">
        <v>1.0899999999965075</v>
      </c>
      <c r="L155">
        <v>52747.18</v>
      </c>
      <c r="M155">
        <v>52746.269</v>
      </c>
      <c r="N155">
        <v>0.91098000000056345</v>
      </c>
      <c r="O155">
        <v>-3386.67</v>
      </c>
      <c r="P155">
        <v>49360.5</v>
      </c>
      <c r="Q155">
        <v>49360.51</v>
      </c>
      <c r="R155">
        <v>1.0000000002037268E-2</v>
      </c>
      <c r="S155">
        <v>632966.12</v>
      </c>
      <c r="T155">
        <v>52747.18</v>
      </c>
      <c r="U155">
        <v>632966.16</v>
      </c>
      <c r="V155">
        <v>4.0000000037252903E-2</v>
      </c>
      <c r="W155" t="b">
        <v>1</v>
      </c>
      <c r="X155" t="b">
        <v>1</v>
      </c>
      <c r="Y155" t="b">
        <v>1</v>
      </c>
      <c r="Z155" t="b">
        <v>1</v>
      </c>
      <c r="AA155" t="b">
        <v>1</v>
      </c>
      <c r="AB155" t="s">
        <v>282</v>
      </c>
      <c r="AC155" t="s">
        <v>283</v>
      </c>
    </row>
    <row r="156" spans="1:29" x14ac:dyDescent="0.25">
      <c r="A156" t="s">
        <v>139</v>
      </c>
      <c r="B156" t="s">
        <v>64</v>
      </c>
      <c r="C156" t="s">
        <v>62</v>
      </c>
      <c r="D156" t="s">
        <v>78</v>
      </c>
      <c r="E156" t="s">
        <v>63</v>
      </c>
      <c r="F156">
        <v>196</v>
      </c>
      <c r="G156">
        <v>239.11</v>
      </c>
      <c r="H156">
        <v>46865.22</v>
      </c>
      <c r="I156">
        <v>9.2600000000000002E-2</v>
      </c>
      <c r="J156">
        <v>46865.560000000005</v>
      </c>
      <c r="K156">
        <v>0.3400000000037835</v>
      </c>
      <c r="L156">
        <v>42524.89</v>
      </c>
      <c r="M156">
        <v>42525.500599999999</v>
      </c>
      <c r="N156">
        <v>0.61062800000217976</v>
      </c>
      <c r="O156">
        <v>1115.82</v>
      </c>
      <c r="P156">
        <v>43640.71</v>
      </c>
      <c r="Q156">
        <v>43640.71</v>
      </c>
      <c r="R156">
        <v>0</v>
      </c>
      <c r="S156">
        <v>510298.7</v>
      </c>
      <c r="T156">
        <v>42524.89</v>
      </c>
      <c r="U156">
        <v>510298.68</v>
      </c>
      <c r="V156">
        <v>2.0000000018626451E-2</v>
      </c>
      <c r="W156" t="b">
        <v>1</v>
      </c>
      <c r="X156" t="b">
        <v>1</v>
      </c>
      <c r="Y156" t="b">
        <v>1</v>
      </c>
      <c r="Z156" t="b">
        <v>1</v>
      </c>
      <c r="AA156" t="b">
        <v>1</v>
      </c>
      <c r="AB156" t="s">
        <v>282</v>
      </c>
      <c r="AC156" t="s">
        <v>283</v>
      </c>
    </row>
    <row r="157" spans="1:29" x14ac:dyDescent="0.25">
      <c r="A157" t="s">
        <v>139</v>
      </c>
      <c r="B157" t="s">
        <v>64</v>
      </c>
      <c r="C157" t="s">
        <v>68</v>
      </c>
      <c r="D157" t="s">
        <v>81</v>
      </c>
      <c r="E157" t="s">
        <v>69</v>
      </c>
      <c r="F157">
        <v>253</v>
      </c>
      <c r="G157">
        <v>1141.9100000000001</v>
      </c>
      <c r="H157">
        <v>288902.94</v>
      </c>
      <c r="I157">
        <v>0.1113</v>
      </c>
      <c r="J157">
        <v>288903.23000000004</v>
      </c>
      <c r="K157">
        <v>0.2900000000372529</v>
      </c>
      <c r="L157">
        <v>256758.23</v>
      </c>
      <c r="M157">
        <v>256748.0428</v>
      </c>
      <c r="N157">
        <v>10.18722200000775</v>
      </c>
      <c r="O157">
        <v>25430.1</v>
      </c>
      <c r="P157">
        <v>282188.32</v>
      </c>
      <c r="Q157">
        <v>282188.33</v>
      </c>
      <c r="R157">
        <v>1.0000000009313226E-2</v>
      </c>
      <c r="S157">
        <v>3081098.71</v>
      </c>
      <c r="T157">
        <v>256758.23</v>
      </c>
      <c r="U157">
        <v>3081098.76</v>
      </c>
      <c r="V157">
        <v>5.0000000279396772E-2</v>
      </c>
      <c r="W157" t="b">
        <v>1</v>
      </c>
      <c r="X157" t="b">
        <v>1</v>
      </c>
      <c r="Y157" t="b">
        <v>1</v>
      </c>
      <c r="Z157" t="b">
        <v>1</v>
      </c>
      <c r="AA157" t="b">
        <v>1</v>
      </c>
      <c r="AB157" t="s">
        <v>282</v>
      </c>
      <c r="AC157" t="s">
        <v>283</v>
      </c>
    </row>
    <row r="158" spans="1:29" x14ac:dyDescent="0.25">
      <c r="A158" t="s">
        <v>139</v>
      </c>
      <c r="B158" t="s">
        <v>67</v>
      </c>
      <c r="C158" t="s">
        <v>62</v>
      </c>
      <c r="D158" t="s">
        <v>81</v>
      </c>
      <c r="E158" t="s">
        <v>69</v>
      </c>
      <c r="F158">
        <v>156</v>
      </c>
      <c r="G158">
        <v>830.56</v>
      </c>
      <c r="H158">
        <v>129567.51</v>
      </c>
      <c r="I158">
        <v>0.1048</v>
      </c>
      <c r="J158">
        <v>129567.35999999999</v>
      </c>
      <c r="K158">
        <v>0.15000000000873115</v>
      </c>
      <c r="L158">
        <v>115983.94</v>
      </c>
      <c r="M158">
        <v>115988.83500000001</v>
      </c>
      <c r="N158">
        <v>4.8949519999878248</v>
      </c>
      <c r="O158">
        <v>-5026.0600000000004</v>
      </c>
      <c r="P158">
        <v>110957.88</v>
      </c>
      <c r="Q158">
        <v>110957.88</v>
      </c>
      <c r="R158">
        <v>0</v>
      </c>
      <c r="S158">
        <v>1391807.3</v>
      </c>
      <c r="T158">
        <v>115983.94</v>
      </c>
      <c r="U158">
        <v>1391807.28</v>
      </c>
      <c r="V158">
        <v>2.0000000018626451E-2</v>
      </c>
      <c r="W158" t="b">
        <v>1</v>
      </c>
      <c r="X158" t="b">
        <v>1</v>
      </c>
      <c r="Y158" t="b">
        <v>1</v>
      </c>
      <c r="Z158" t="b">
        <v>1</v>
      </c>
      <c r="AA158" t="b">
        <v>1</v>
      </c>
      <c r="AB158" t="s">
        <v>282</v>
      </c>
      <c r="AC158" t="s">
        <v>283</v>
      </c>
    </row>
    <row r="159" spans="1:29" x14ac:dyDescent="0.25">
      <c r="A159" t="s">
        <v>139</v>
      </c>
      <c r="B159" t="s">
        <v>64</v>
      </c>
      <c r="C159" t="s">
        <v>65</v>
      </c>
      <c r="D159" t="s">
        <v>75</v>
      </c>
      <c r="E159" t="s">
        <v>63</v>
      </c>
      <c r="F159">
        <v>255</v>
      </c>
      <c r="G159">
        <v>744.96</v>
      </c>
      <c r="H159">
        <v>189963.71</v>
      </c>
      <c r="I159">
        <v>0.13550000000000001</v>
      </c>
      <c r="J159">
        <v>189964.80000000002</v>
      </c>
      <c r="K159">
        <v>1.0900000000256114</v>
      </c>
      <c r="L159">
        <v>164232.81</v>
      </c>
      <c r="M159">
        <v>164223.62729999999</v>
      </c>
      <c r="N159">
        <v>9.1827050000138115</v>
      </c>
      <c r="O159">
        <v>24053.24</v>
      </c>
      <c r="P159">
        <v>188286.06</v>
      </c>
      <c r="Q159">
        <v>188286.05</v>
      </c>
      <c r="R159">
        <v>1.0000000009313226E-2</v>
      </c>
      <c r="S159">
        <v>1970793.77</v>
      </c>
      <c r="T159">
        <v>164232.81</v>
      </c>
      <c r="U159">
        <v>1970793.72</v>
      </c>
      <c r="V159">
        <v>5.0000000046566129E-2</v>
      </c>
      <c r="W159" t="b">
        <v>1</v>
      </c>
      <c r="X159" t="b">
        <v>1</v>
      </c>
      <c r="Y159" t="b">
        <v>1</v>
      </c>
      <c r="Z159" t="b">
        <v>1</v>
      </c>
      <c r="AA159" t="b">
        <v>1</v>
      </c>
      <c r="AB159" t="s">
        <v>282</v>
      </c>
      <c r="AC159" t="s">
        <v>283</v>
      </c>
    </row>
    <row r="160" spans="1:29" x14ac:dyDescent="0.25">
      <c r="A160" t="s">
        <v>139</v>
      </c>
      <c r="B160" t="s">
        <v>61</v>
      </c>
      <c r="C160" t="s">
        <v>68</v>
      </c>
      <c r="D160" t="s">
        <v>81</v>
      </c>
      <c r="E160" t="s">
        <v>63</v>
      </c>
      <c r="F160">
        <v>175</v>
      </c>
      <c r="G160">
        <v>403.84</v>
      </c>
      <c r="H160">
        <v>70671.81</v>
      </c>
      <c r="I160">
        <v>0.10150000000000001</v>
      </c>
      <c r="J160">
        <v>70672</v>
      </c>
      <c r="K160">
        <v>0.19000000000232831</v>
      </c>
      <c r="L160">
        <v>63496.98</v>
      </c>
      <c r="M160">
        <v>63498.621299999999</v>
      </c>
      <c r="N160">
        <v>1.6412849999978789</v>
      </c>
      <c r="O160">
        <v>-88.33</v>
      </c>
      <c r="P160">
        <v>63408.65</v>
      </c>
      <c r="Q160">
        <v>63408.65</v>
      </c>
      <c r="R160">
        <v>0</v>
      </c>
      <c r="S160">
        <v>761963.79</v>
      </c>
      <c r="T160">
        <v>63496.98</v>
      </c>
      <c r="U160">
        <v>761963.76</v>
      </c>
      <c r="V160">
        <v>3.0000000027939677E-2</v>
      </c>
      <c r="W160" t="b">
        <v>1</v>
      </c>
      <c r="X160" t="b">
        <v>1</v>
      </c>
      <c r="Y160" t="b">
        <v>1</v>
      </c>
      <c r="Z160" t="b">
        <v>1</v>
      </c>
      <c r="AA160" t="b">
        <v>1</v>
      </c>
      <c r="AB160" t="s">
        <v>282</v>
      </c>
      <c r="AC160" t="s">
        <v>283</v>
      </c>
    </row>
    <row r="161" spans="1:29" x14ac:dyDescent="0.25">
      <c r="A161" t="s">
        <v>139</v>
      </c>
      <c r="B161" t="s">
        <v>61</v>
      </c>
      <c r="C161" t="s">
        <v>62</v>
      </c>
      <c r="D161" t="s">
        <v>81</v>
      </c>
      <c r="E161" t="s">
        <v>66</v>
      </c>
      <c r="F161">
        <v>94</v>
      </c>
      <c r="G161">
        <v>594.66</v>
      </c>
      <c r="H161">
        <v>55897.88</v>
      </c>
      <c r="I161">
        <v>0.17899999999999999</v>
      </c>
      <c r="J161">
        <v>55898.039999999994</v>
      </c>
      <c r="K161">
        <v>0.1599999999962165</v>
      </c>
      <c r="L161">
        <v>45891.08</v>
      </c>
      <c r="M161">
        <v>45892.159500000002</v>
      </c>
      <c r="N161">
        <v>1.0794800000003306</v>
      </c>
      <c r="O161">
        <v>14.94</v>
      </c>
      <c r="P161">
        <v>45906.02</v>
      </c>
      <c r="Q161">
        <v>45906.02</v>
      </c>
      <c r="R161">
        <v>7.2759576141834259E-12</v>
      </c>
      <c r="S161">
        <v>550692.92000000004</v>
      </c>
      <c r="T161">
        <v>45891.08</v>
      </c>
      <c r="U161">
        <v>550692.96</v>
      </c>
      <c r="V161">
        <v>3.9999999920837581E-2</v>
      </c>
      <c r="W161" t="b">
        <v>1</v>
      </c>
      <c r="X161" t="b">
        <v>1</v>
      </c>
      <c r="Y161" t="b">
        <v>1</v>
      </c>
      <c r="Z161" t="b">
        <v>1</v>
      </c>
      <c r="AA161" t="b">
        <v>1</v>
      </c>
      <c r="AB161" t="s">
        <v>282</v>
      </c>
      <c r="AC161" t="s">
        <v>283</v>
      </c>
    </row>
    <row r="162" spans="1:29" x14ac:dyDescent="0.25">
      <c r="A162" t="s">
        <v>139</v>
      </c>
      <c r="B162" t="s">
        <v>61</v>
      </c>
      <c r="C162" t="s">
        <v>65</v>
      </c>
      <c r="D162" t="s">
        <v>75</v>
      </c>
      <c r="E162" t="s">
        <v>66</v>
      </c>
      <c r="F162">
        <v>255</v>
      </c>
      <c r="G162">
        <v>1063.8599999999999</v>
      </c>
      <c r="H162">
        <v>271283.34000000003</v>
      </c>
      <c r="I162">
        <v>8.2799999999999999E-2</v>
      </c>
      <c r="J162">
        <v>271284.3</v>
      </c>
      <c r="K162">
        <v>0.9599999999627471</v>
      </c>
      <c r="L162">
        <v>248818.08</v>
      </c>
      <c r="M162">
        <v>248821.07939999999</v>
      </c>
      <c r="N162">
        <v>2.9994480000459589</v>
      </c>
      <c r="O162">
        <v>9468.4599999999991</v>
      </c>
      <c r="P162">
        <v>258286.54</v>
      </c>
      <c r="Q162">
        <v>258286.54</v>
      </c>
      <c r="R162">
        <v>2.9103830456733704E-11</v>
      </c>
      <c r="S162">
        <v>2985816.97</v>
      </c>
      <c r="T162">
        <v>248818.08</v>
      </c>
      <c r="U162">
        <v>2985816.96</v>
      </c>
      <c r="V162">
        <v>1.0000000242143869E-2</v>
      </c>
      <c r="W162" t="b">
        <v>1</v>
      </c>
      <c r="X162" t="b">
        <v>1</v>
      </c>
      <c r="Y162" t="b">
        <v>1</v>
      </c>
      <c r="Z162" t="b">
        <v>1</v>
      </c>
      <c r="AA162" t="b">
        <v>1</v>
      </c>
      <c r="AB162" t="s">
        <v>282</v>
      </c>
      <c r="AC162" t="s">
        <v>283</v>
      </c>
    </row>
    <row r="163" spans="1:29" x14ac:dyDescent="0.25">
      <c r="A163" t="s">
        <v>139</v>
      </c>
      <c r="B163" t="s">
        <v>67</v>
      </c>
      <c r="C163" t="s">
        <v>65</v>
      </c>
      <c r="D163" t="s">
        <v>81</v>
      </c>
      <c r="E163" t="s">
        <v>66</v>
      </c>
      <c r="F163">
        <v>187</v>
      </c>
      <c r="G163">
        <v>642</v>
      </c>
      <c r="H163">
        <v>120054.51</v>
      </c>
      <c r="I163">
        <v>0.19589999999999999</v>
      </c>
      <c r="J163">
        <v>120054</v>
      </c>
      <c r="K163">
        <v>0.50999999999476131</v>
      </c>
      <c r="L163">
        <v>96530.77</v>
      </c>
      <c r="M163">
        <v>96535.8315</v>
      </c>
      <c r="N163">
        <v>5.0614909999858355</v>
      </c>
      <c r="O163">
        <v>5755.78</v>
      </c>
      <c r="P163">
        <v>102286.55</v>
      </c>
      <c r="Q163">
        <v>102286.55</v>
      </c>
      <c r="R163">
        <v>0</v>
      </c>
      <c r="S163">
        <v>1158369.19</v>
      </c>
      <c r="T163">
        <v>96530.77</v>
      </c>
      <c r="U163">
        <v>1158369.24</v>
      </c>
      <c r="V163">
        <v>5.0000000046566129E-2</v>
      </c>
      <c r="W163" t="b">
        <v>1</v>
      </c>
      <c r="X163" t="b">
        <v>1</v>
      </c>
      <c r="Y163" t="b">
        <v>1</v>
      </c>
      <c r="Z163" t="b">
        <v>1</v>
      </c>
      <c r="AA163" t="b">
        <v>1</v>
      </c>
      <c r="AB163" t="s">
        <v>282</v>
      </c>
      <c r="AC163" t="s">
        <v>283</v>
      </c>
    </row>
    <row r="164" spans="1:29" x14ac:dyDescent="0.25">
      <c r="A164" t="s">
        <v>140</v>
      </c>
      <c r="B164" t="s">
        <v>64</v>
      </c>
      <c r="C164" t="s">
        <v>62</v>
      </c>
      <c r="D164" t="s">
        <v>78</v>
      </c>
      <c r="E164" t="s">
        <v>66</v>
      </c>
      <c r="F164">
        <v>299</v>
      </c>
      <c r="G164">
        <v>1004.05</v>
      </c>
      <c r="H164">
        <v>300210.56</v>
      </c>
      <c r="I164">
        <v>0.24229999999999999</v>
      </c>
      <c r="J164">
        <v>300210.95</v>
      </c>
      <c r="K164">
        <v>0.39000000001396984</v>
      </c>
      <c r="L164">
        <v>227457.78</v>
      </c>
      <c r="M164">
        <v>227469.54130000001</v>
      </c>
      <c r="N164">
        <v>11.761312000016915</v>
      </c>
      <c r="O164">
        <v>-17830.23</v>
      </c>
      <c r="P164">
        <v>209627.55</v>
      </c>
      <c r="Q164">
        <v>209627.55</v>
      </c>
      <c r="R164">
        <v>0</v>
      </c>
      <c r="S164">
        <v>2729493.33</v>
      </c>
      <c r="T164">
        <v>227457.78</v>
      </c>
      <c r="U164">
        <v>2729493.36</v>
      </c>
      <c r="V164">
        <v>2.9999999795109034E-2</v>
      </c>
      <c r="W164" t="b">
        <v>1</v>
      </c>
      <c r="X164" t="b">
        <v>1</v>
      </c>
      <c r="Y164" t="b">
        <v>1</v>
      </c>
      <c r="Z164" t="b">
        <v>1</v>
      </c>
      <c r="AA164" t="b">
        <v>1</v>
      </c>
      <c r="AB164" t="s">
        <v>282</v>
      </c>
      <c r="AC164" t="s">
        <v>283</v>
      </c>
    </row>
    <row r="165" spans="1:29" x14ac:dyDescent="0.25">
      <c r="A165" t="s">
        <v>140</v>
      </c>
      <c r="B165" t="s">
        <v>64</v>
      </c>
      <c r="C165" t="s">
        <v>65</v>
      </c>
      <c r="D165" t="s">
        <v>75</v>
      </c>
      <c r="E165" t="s">
        <v>63</v>
      </c>
      <c r="F165">
        <v>162</v>
      </c>
      <c r="G165">
        <v>1082.05</v>
      </c>
      <c r="H165">
        <v>175292.78</v>
      </c>
      <c r="I165">
        <v>0.2228</v>
      </c>
      <c r="J165">
        <v>175292.1</v>
      </c>
      <c r="K165">
        <v>0.67999999999301508</v>
      </c>
      <c r="L165">
        <v>136235.25</v>
      </c>
      <c r="M165">
        <v>136237.54860000001</v>
      </c>
      <c r="N165">
        <v>2.2986159999854863</v>
      </c>
      <c r="O165">
        <v>8727.75</v>
      </c>
      <c r="P165">
        <v>144963</v>
      </c>
      <c r="Q165">
        <v>144963</v>
      </c>
      <c r="R165">
        <v>0</v>
      </c>
      <c r="S165">
        <v>1634823.02</v>
      </c>
      <c r="T165">
        <v>136235.25</v>
      </c>
      <c r="U165">
        <v>1634823</v>
      </c>
      <c r="V165">
        <v>2.0000000018626451E-2</v>
      </c>
      <c r="W165" t="b">
        <v>1</v>
      </c>
      <c r="X165" t="b">
        <v>1</v>
      </c>
      <c r="Y165" t="b">
        <v>1</v>
      </c>
      <c r="Z165" t="b">
        <v>1</v>
      </c>
      <c r="AA165" t="b">
        <v>1</v>
      </c>
      <c r="AB165" t="s">
        <v>282</v>
      </c>
      <c r="AC165" t="s">
        <v>283</v>
      </c>
    </row>
    <row r="166" spans="1:29" x14ac:dyDescent="0.25">
      <c r="A166" t="s">
        <v>140</v>
      </c>
      <c r="B166" t="s">
        <v>67</v>
      </c>
      <c r="C166" t="s">
        <v>68</v>
      </c>
      <c r="D166" t="s">
        <v>78</v>
      </c>
      <c r="E166" t="s">
        <v>69</v>
      </c>
      <c r="F166">
        <v>95</v>
      </c>
      <c r="G166">
        <v>574.03</v>
      </c>
      <c r="H166">
        <v>54532.5</v>
      </c>
      <c r="I166">
        <v>0.20669999999999999</v>
      </c>
      <c r="J166">
        <v>54532.85</v>
      </c>
      <c r="K166">
        <v>0.34999999999854481</v>
      </c>
      <c r="L166">
        <v>43258.33</v>
      </c>
      <c r="M166">
        <v>43260.6322</v>
      </c>
      <c r="N166">
        <v>2.3022500000006403</v>
      </c>
      <c r="O166">
        <v>3472.26</v>
      </c>
      <c r="P166">
        <v>46730.59</v>
      </c>
      <c r="Q166">
        <v>46730.59</v>
      </c>
      <c r="R166">
        <v>7.2759576141834259E-12</v>
      </c>
      <c r="S166">
        <v>519099.91</v>
      </c>
      <c r="T166">
        <v>43258.33</v>
      </c>
      <c r="U166">
        <v>519099.96</v>
      </c>
      <c r="V166">
        <v>5.0000000046566129E-2</v>
      </c>
      <c r="W166" t="b">
        <v>1</v>
      </c>
      <c r="X166" t="b">
        <v>1</v>
      </c>
      <c r="Y166" t="b">
        <v>1</v>
      </c>
      <c r="Z166" t="b">
        <v>1</v>
      </c>
      <c r="AA166" t="b">
        <v>1</v>
      </c>
      <c r="AB166" t="s">
        <v>282</v>
      </c>
      <c r="AC166" t="s">
        <v>283</v>
      </c>
    </row>
    <row r="167" spans="1:29" x14ac:dyDescent="0.25">
      <c r="A167" t="s">
        <v>140</v>
      </c>
      <c r="B167" t="s">
        <v>67</v>
      </c>
      <c r="C167" t="s">
        <v>62</v>
      </c>
      <c r="D167" t="s">
        <v>78</v>
      </c>
      <c r="E167" t="s">
        <v>69</v>
      </c>
      <c r="F167">
        <v>283</v>
      </c>
      <c r="G167">
        <v>731.27</v>
      </c>
      <c r="H167">
        <v>206948.68</v>
      </c>
      <c r="I167">
        <v>0.14860000000000001</v>
      </c>
      <c r="J167">
        <v>206949.41</v>
      </c>
      <c r="K167">
        <v>0.73000000001047738</v>
      </c>
      <c r="L167">
        <v>176200.82</v>
      </c>
      <c r="M167">
        <v>176196.10620000001</v>
      </c>
      <c r="N167">
        <v>4.713848000013968</v>
      </c>
      <c r="O167">
        <v>-6949.15</v>
      </c>
      <c r="P167">
        <v>169251.67</v>
      </c>
      <c r="Q167">
        <v>169251.67</v>
      </c>
      <c r="R167">
        <v>0</v>
      </c>
      <c r="S167">
        <v>2114409.7999999998</v>
      </c>
      <c r="T167">
        <v>176200.82</v>
      </c>
      <c r="U167">
        <v>2114409.84</v>
      </c>
      <c r="V167">
        <v>4.0000000037252903E-2</v>
      </c>
      <c r="W167" t="b">
        <v>1</v>
      </c>
      <c r="X167" t="b">
        <v>1</v>
      </c>
      <c r="Y167" t="b">
        <v>1</v>
      </c>
      <c r="Z167" t="b">
        <v>1</v>
      </c>
      <c r="AA167" t="b">
        <v>1</v>
      </c>
      <c r="AB167" t="s">
        <v>282</v>
      </c>
      <c r="AC167" t="s">
        <v>283</v>
      </c>
    </row>
    <row r="168" spans="1:29" x14ac:dyDescent="0.25">
      <c r="A168" t="s">
        <v>140</v>
      </c>
      <c r="B168" t="s">
        <v>64</v>
      </c>
      <c r="C168" t="s">
        <v>68</v>
      </c>
      <c r="D168" t="s">
        <v>75</v>
      </c>
      <c r="E168" t="s">
        <v>66</v>
      </c>
      <c r="F168">
        <v>211</v>
      </c>
      <c r="G168">
        <v>227.11</v>
      </c>
      <c r="H168">
        <v>47920.36</v>
      </c>
      <c r="I168">
        <v>3.6499999999999998E-2</v>
      </c>
      <c r="J168">
        <v>47920.210000000006</v>
      </c>
      <c r="K168">
        <v>0.14999999999417923</v>
      </c>
      <c r="L168">
        <v>46170.720000000001</v>
      </c>
      <c r="M168">
        <v>46171.266900000002</v>
      </c>
      <c r="N168">
        <v>0.54686000000219792</v>
      </c>
      <c r="O168">
        <v>-76.06</v>
      </c>
      <c r="P168">
        <v>46094.67</v>
      </c>
      <c r="Q168">
        <v>46094.66</v>
      </c>
      <c r="R168">
        <v>9.9999999947613105E-3</v>
      </c>
      <c r="S168">
        <v>554048.68000000005</v>
      </c>
      <c r="T168">
        <v>46170.720000000001</v>
      </c>
      <c r="U168">
        <v>554048.64</v>
      </c>
      <c r="V168">
        <v>4.0000000037252903E-2</v>
      </c>
      <c r="W168" t="b">
        <v>1</v>
      </c>
      <c r="X168" t="b">
        <v>1</v>
      </c>
      <c r="Y168" t="b">
        <v>1</v>
      </c>
      <c r="Z168" t="b">
        <v>1</v>
      </c>
      <c r="AA168" t="b">
        <v>1</v>
      </c>
      <c r="AB168" t="s">
        <v>282</v>
      </c>
      <c r="AC168" t="s">
        <v>283</v>
      </c>
    </row>
    <row r="169" spans="1:29" x14ac:dyDescent="0.25">
      <c r="A169" t="s">
        <v>140</v>
      </c>
      <c r="B169" t="s">
        <v>61</v>
      </c>
      <c r="C169" t="s">
        <v>68</v>
      </c>
      <c r="D169" t="s">
        <v>78</v>
      </c>
      <c r="E169" t="s">
        <v>63</v>
      </c>
      <c r="F169">
        <v>125</v>
      </c>
      <c r="G169">
        <v>614.80999999999995</v>
      </c>
      <c r="H169">
        <v>76850.820000000007</v>
      </c>
      <c r="I169">
        <v>7.5700000000000003E-2</v>
      </c>
      <c r="J169">
        <v>76851.25</v>
      </c>
      <c r="K169">
        <v>0.42999999999301508</v>
      </c>
      <c r="L169">
        <v>71034.61</v>
      </c>
      <c r="M169">
        <v>71033.212899999999</v>
      </c>
      <c r="N169">
        <v>1.3970739999931538</v>
      </c>
      <c r="O169">
        <v>-2142.48</v>
      </c>
      <c r="P169">
        <v>68892.13</v>
      </c>
      <c r="Q169">
        <v>68892.13</v>
      </c>
      <c r="R169">
        <v>0</v>
      </c>
      <c r="S169">
        <v>852415.33</v>
      </c>
      <c r="T169">
        <v>71034.61</v>
      </c>
      <c r="U169">
        <v>852415.32</v>
      </c>
      <c r="V169">
        <v>9.9999998928979039E-3</v>
      </c>
      <c r="W169" t="b">
        <v>1</v>
      </c>
      <c r="X169" t="b">
        <v>1</v>
      </c>
      <c r="Y169" t="b">
        <v>1</v>
      </c>
      <c r="Z169" t="b">
        <v>1</v>
      </c>
      <c r="AA169" t="b">
        <v>1</v>
      </c>
      <c r="AB169" t="s">
        <v>282</v>
      </c>
      <c r="AC169" t="s">
        <v>283</v>
      </c>
    </row>
    <row r="170" spans="1:29" x14ac:dyDescent="0.25">
      <c r="A170" t="s">
        <v>140</v>
      </c>
      <c r="B170" t="s">
        <v>61</v>
      </c>
      <c r="C170" t="s">
        <v>62</v>
      </c>
      <c r="D170" t="s">
        <v>81</v>
      </c>
      <c r="E170" t="s">
        <v>63</v>
      </c>
      <c r="F170">
        <v>138</v>
      </c>
      <c r="G170">
        <v>278.57</v>
      </c>
      <c r="H170">
        <v>38442.050000000003</v>
      </c>
      <c r="I170">
        <v>7.8299999999999995E-2</v>
      </c>
      <c r="J170">
        <v>38442.659999999996</v>
      </c>
      <c r="K170">
        <v>0.60999999999330612</v>
      </c>
      <c r="L170">
        <v>35433.33</v>
      </c>
      <c r="M170">
        <v>35432.037499999999</v>
      </c>
      <c r="N170">
        <v>1.2925150000010035</v>
      </c>
      <c r="O170">
        <v>1109.78</v>
      </c>
      <c r="P170">
        <v>36543.11</v>
      </c>
      <c r="Q170">
        <v>36543.11</v>
      </c>
      <c r="R170">
        <v>0</v>
      </c>
      <c r="S170">
        <v>425199.94</v>
      </c>
      <c r="T170">
        <v>35433.33</v>
      </c>
      <c r="U170">
        <v>425199.96</v>
      </c>
      <c r="V170">
        <v>2.0000000018626451E-2</v>
      </c>
      <c r="W170" t="b">
        <v>1</v>
      </c>
      <c r="X170" t="b">
        <v>1</v>
      </c>
      <c r="Y170" t="b">
        <v>1</v>
      </c>
      <c r="Z170" t="b">
        <v>1</v>
      </c>
      <c r="AA170" t="b">
        <v>1</v>
      </c>
      <c r="AB170" t="s">
        <v>282</v>
      </c>
      <c r="AC170" t="s">
        <v>283</v>
      </c>
    </row>
    <row r="171" spans="1:29" x14ac:dyDescent="0.25">
      <c r="A171" t="s">
        <v>140</v>
      </c>
      <c r="B171" t="s">
        <v>61</v>
      </c>
      <c r="C171" t="s">
        <v>65</v>
      </c>
      <c r="D171" t="s">
        <v>75</v>
      </c>
      <c r="E171" t="s">
        <v>69</v>
      </c>
      <c r="F171">
        <v>258</v>
      </c>
      <c r="G171">
        <v>755.54</v>
      </c>
      <c r="H171">
        <v>194930.58</v>
      </c>
      <c r="I171">
        <v>1.5699999999999999E-2</v>
      </c>
      <c r="J171">
        <v>194929.31999999998</v>
      </c>
      <c r="K171">
        <v>1.2600000000093132</v>
      </c>
      <c r="L171">
        <v>191869.36</v>
      </c>
      <c r="M171">
        <v>191870.16990000001</v>
      </c>
      <c r="N171">
        <v>0.80989400000544265</v>
      </c>
      <c r="O171">
        <v>19813.79</v>
      </c>
      <c r="P171">
        <v>211683.14</v>
      </c>
      <c r="Q171">
        <v>211683.15</v>
      </c>
      <c r="R171">
        <v>9.9999999802093953E-3</v>
      </c>
      <c r="S171">
        <v>2302432.29</v>
      </c>
      <c r="T171">
        <v>191869.36</v>
      </c>
      <c r="U171">
        <v>2302432.3199999998</v>
      </c>
      <c r="V171">
        <v>2.9999999795109034E-2</v>
      </c>
      <c r="W171" t="b">
        <v>1</v>
      </c>
      <c r="X171" t="b">
        <v>1</v>
      </c>
      <c r="Y171" t="b">
        <v>1</v>
      </c>
      <c r="Z171" t="b">
        <v>1</v>
      </c>
      <c r="AA171" t="b">
        <v>1</v>
      </c>
      <c r="AB171" t="s">
        <v>282</v>
      </c>
      <c r="AC171" t="s">
        <v>283</v>
      </c>
    </row>
    <row r="172" spans="1:29" x14ac:dyDescent="0.25">
      <c r="A172" t="s">
        <v>140</v>
      </c>
      <c r="B172" t="s">
        <v>67</v>
      </c>
      <c r="C172" t="s">
        <v>65</v>
      </c>
      <c r="D172" t="s">
        <v>78</v>
      </c>
      <c r="E172" t="s">
        <v>66</v>
      </c>
      <c r="F172">
        <v>237</v>
      </c>
      <c r="G172">
        <v>639.80999999999995</v>
      </c>
      <c r="H172">
        <v>151634.73000000001</v>
      </c>
      <c r="I172">
        <v>0.2122</v>
      </c>
      <c r="J172">
        <v>151634.97</v>
      </c>
      <c r="K172">
        <v>0.23999999999068677</v>
      </c>
      <c r="L172">
        <v>119461.23</v>
      </c>
      <c r="M172">
        <v>119457.8403</v>
      </c>
      <c r="N172">
        <v>3.3897059999871999</v>
      </c>
      <c r="O172">
        <v>16621.04</v>
      </c>
      <c r="P172">
        <v>136082.28</v>
      </c>
      <c r="Q172">
        <v>136082.26999999999</v>
      </c>
      <c r="R172">
        <v>1.0000000009313226E-2</v>
      </c>
      <c r="S172">
        <v>1433534.79</v>
      </c>
      <c r="T172">
        <v>119461.23</v>
      </c>
      <c r="U172">
        <v>1433534.76</v>
      </c>
      <c r="V172">
        <v>3.0000000027939677E-2</v>
      </c>
      <c r="W172" t="b">
        <v>1</v>
      </c>
      <c r="X172" t="b">
        <v>1</v>
      </c>
      <c r="Y172" t="b">
        <v>1</v>
      </c>
      <c r="Z172" t="b">
        <v>1</v>
      </c>
      <c r="AA172" t="b">
        <v>1</v>
      </c>
      <c r="AB172" t="s">
        <v>282</v>
      </c>
      <c r="AC172" t="s">
        <v>283</v>
      </c>
    </row>
    <row r="173" spans="1:29" x14ac:dyDescent="0.25">
      <c r="A173" t="s">
        <v>141</v>
      </c>
      <c r="B173" t="s">
        <v>64</v>
      </c>
      <c r="C173" t="s">
        <v>68</v>
      </c>
      <c r="D173" t="s">
        <v>75</v>
      </c>
      <c r="E173" t="s">
        <v>69</v>
      </c>
      <c r="F173">
        <v>141</v>
      </c>
      <c r="G173">
        <v>541.46</v>
      </c>
      <c r="H173">
        <v>76346.09</v>
      </c>
      <c r="I173">
        <v>9.3200000000000005E-2</v>
      </c>
      <c r="J173">
        <v>76345.86</v>
      </c>
      <c r="K173">
        <v>0.22999999999592546</v>
      </c>
      <c r="L173">
        <v>69231.17</v>
      </c>
      <c r="M173">
        <v>69230.634399999995</v>
      </c>
      <c r="N173">
        <v>0.53558799999882467</v>
      </c>
      <c r="O173">
        <v>6706.26</v>
      </c>
      <c r="P173">
        <v>75937.42</v>
      </c>
      <c r="Q173">
        <v>75937.429999999993</v>
      </c>
      <c r="R173">
        <v>9.9999999947613105E-3</v>
      </c>
      <c r="S173">
        <v>830774.02</v>
      </c>
      <c r="T173">
        <v>69231.17</v>
      </c>
      <c r="U173">
        <v>830774.04</v>
      </c>
      <c r="V173">
        <v>2.0000000018626451E-2</v>
      </c>
      <c r="W173" t="b">
        <v>1</v>
      </c>
      <c r="X173" t="b">
        <v>1</v>
      </c>
      <c r="Y173" t="b">
        <v>1</v>
      </c>
      <c r="Z173" t="b">
        <v>1</v>
      </c>
      <c r="AA173" t="b">
        <v>1</v>
      </c>
      <c r="AB173" t="s">
        <v>282</v>
      </c>
      <c r="AC173" t="s">
        <v>283</v>
      </c>
    </row>
    <row r="174" spans="1:29" x14ac:dyDescent="0.25">
      <c r="A174" t="s">
        <v>141</v>
      </c>
      <c r="B174" t="s">
        <v>64</v>
      </c>
      <c r="C174" t="s">
        <v>62</v>
      </c>
      <c r="D174" t="s">
        <v>78</v>
      </c>
      <c r="E174" t="s">
        <v>69</v>
      </c>
      <c r="F174">
        <v>198</v>
      </c>
      <c r="G174">
        <v>997.21</v>
      </c>
      <c r="H174">
        <v>197446.91</v>
      </c>
      <c r="I174">
        <v>0.1953</v>
      </c>
      <c r="J174">
        <v>197447.58000000002</v>
      </c>
      <c r="K174">
        <v>0.67000000001280569</v>
      </c>
      <c r="L174">
        <v>158886.68</v>
      </c>
      <c r="M174">
        <v>158885.52849999999</v>
      </c>
      <c r="N174">
        <v>1.1515229999786243</v>
      </c>
      <c r="O174">
        <v>-6664.42</v>
      </c>
      <c r="P174">
        <v>152222.26</v>
      </c>
      <c r="Q174">
        <v>152222.26</v>
      </c>
      <c r="R174">
        <v>2.9103830456733704E-11</v>
      </c>
      <c r="S174">
        <v>1906640.18</v>
      </c>
      <c r="T174">
        <v>158886.68</v>
      </c>
      <c r="U174">
        <v>1906640.16</v>
      </c>
      <c r="V174">
        <v>2.0000000018626451E-2</v>
      </c>
      <c r="W174" t="b">
        <v>1</v>
      </c>
      <c r="X174" t="b">
        <v>1</v>
      </c>
      <c r="Y174" t="b">
        <v>1</v>
      </c>
      <c r="Z174" t="b">
        <v>1</v>
      </c>
      <c r="AA174" t="b">
        <v>1</v>
      </c>
      <c r="AB174" t="s">
        <v>282</v>
      </c>
      <c r="AC174" t="s">
        <v>283</v>
      </c>
    </row>
    <row r="175" spans="1:29" x14ac:dyDescent="0.25">
      <c r="A175" t="s">
        <v>141</v>
      </c>
      <c r="B175" t="s">
        <v>64</v>
      </c>
      <c r="C175" t="s">
        <v>65</v>
      </c>
      <c r="D175" t="s">
        <v>78</v>
      </c>
      <c r="E175" t="s">
        <v>69</v>
      </c>
      <c r="F175">
        <v>170</v>
      </c>
      <c r="G175">
        <v>680.33</v>
      </c>
      <c r="H175">
        <v>115656.05</v>
      </c>
      <c r="I175">
        <v>0.14449999999999999</v>
      </c>
      <c r="J175">
        <v>115656.1</v>
      </c>
      <c r="K175">
        <v>5.0000000002910383E-2</v>
      </c>
      <c r="L175">
        <v>98945.81</v>
      </c>
      <c r="M175">
        <v>98943.750799999994</v>
      </c>
      <c r="N175">
        <v>2.059224999989965</v>
      </c>
      <c r="O175">
        <v>156.29</v>
      </c>
      <c r="P175">
        <v>99102.1</v>
      </c>
      <c r="Q175">
        <v>99102.1</v>
      </c>
      <c r="R175">
        <v>1.4551915228366852E-11</v>
      </c>
      <c r="S175">
        <v>1187349.73</v>
      </c>
      <c r="T175">
        <v>98945.81</v>
      </c>
      <c r="U175">
        <v>1187349.72</v>
      </c>
      <c r="V175">
        <v>1.0000000009313226E-2</v>
      </c>
      <c r="W175" t="b">
        <v>1</v>
      </c>
      <c r="X175" t="b">
        <v>1</v>
      </c>
      <c r="Y175" t="b">
        <v>1</v>
      </c>
      <c r="Z175" t="b">
        <v>1</v>
      </c>
      <c r="AA175" t="b">
        <v>1</v>
      </c>
      <c r="AB175" t="s">
        <v>282</v>
      </c>
      <c r="AC175" t="s">
        <v>283</v>
      </c>
    </row>
    <row r="176" spans="1:29" x14ac:dyDescent="0.25">
      <c r="A176" t="s">
        <v>141</v>
      </c>
      <c r="B176" t="s">
        <v>67</v>
      </c>
      <c r="C176" t="s">
        <v>68</v>
      </c>
      <c r="D176" t="s">
        <v>81</v>
      </c>
      <c r="E176" t="s">
        <v>66</v>
      </c>
      <c r="F176">
        <v>161</v>
      </c>
      <c r="G176">
        <v>542.21</v>
      </c>
      <c r="H176">
        <v>87295.39</v>
      </c>
      <c r="I176">
        <v>0.1212</v>
      </c>
      <c r="J176">
        <v>87295.810000000012</v>
      </c>
      <c r="K176">
        <v>0.42000000001280569</v>
      </c>
      <c r="L176">
        <v>76712.14</v>
      </c>
      <c r="M176">
        <v>76715.188699999999</v>
      </c>
      <c r="N176">
        <v>3.0487319999956526</v>
      </c>
      <c r="O176">
        <v>3558.56</v>
      </c>
      <c r="P176">
        <v>80270.7</v>
      </c>
      <c r="Q176">
        <v>80270.7</v>
      </c>
      <c r="R176">
        <v>0</v>
      </c>
      <c r="S176">
        <v>920545.68</v>
      </c>
      <c r="T176">
        <v>76712.14</v>
      </c>
      <c r="U176">
        <v>920545.68</v>
      </c>
      <c r="V176">
        <v>1.1641532182693481E-10</v>
      </c>
      <c r="W176" t="b">
        <v>1</v>
      </c>
      <c r="X176" t="b">
        <v>1</v>
      </c>
      <c r="Y176" t="b">
        <v>1</v>
      </c>
      <c r="Z176" t="b">
        <v>1</v>
      </c>
      <c r="AA176" t="b">
        <v>1</v>
      </c>
      <c r="AB176" t="s">
        <v>282</v>
      </c>
      <c r="AC176" t="s">
        <v>283</v>
      </c>
    </row>
    <row r="177" spans="1:29" x14ac:dyDescent="0.25">
      <c r="A177" t="s">
        <v>141</v>
      </c>
      <c r="B177" t="s">
        <v>67</v>
      </c>
      <c r="C177" t="s">
        <v>62</v>
      </c>
      <c r="D177" t="s">
        <v>78</v>
      </c>
      <c r="E177" t="s">
        <v>69</v>
      </c>
      <c r="F177">
        <v>249</v>
      </c>
      <c r="G177">
        <v>799.95</v>
      </c>
      <c r="H177">
        <v>199188.11</v>
      </c>
      <c r="I177">
        <v>5.5E-2</v>
      </c>
      <c r="J177">
        <v>199187.55000000002</v>
      </c>
      <c r="K177">
        <v>0.55999999996856786</v>
      </c>
      <c r="L177">
        <v>188223.94</v>
      </c>
      <c r="M177">
        <v>188232.764</v>
      </c>
      <c r="N177">
        <v>8.823949999990873</v>
      </c>
      <c r="O177">
        <v>6575.09</v>
      </c>
      <c r="P177">
        <v>194799.03</v>
      </c>
      <c r="Q177">
        <v>194799.03</v>
      </c>
      <c r="R177">
        <v>0</v>
      </c>
      <c r="S177">
        <v>2258687.29</v>
      </c>
      <c r="T177">
        <v>188223.94</v>
      </c>
      <c r="U177">
        <v>2258687.2799999998</v>
      </c>
      <c r="V177">
        <v>9.9999997764825821E-3</v>
      </c>
      <c r="W177" t="b">
        <v>1</v>
      </c>
      <c r="X177" t="b">
        <v>1</v>
      </c>
      <c r="Y177" t="b">
        <v>1</v>
      </c>
      <c r="Z177" t="b">
        <v>1</v>
      </c>
      <c r="AA177" t="b">
        <v>1</v>
      </c>
      <c r="AB177" t="s">
        <v>282</v>
      </c>
      <c r="AC177" t="s">
        <v>283</v>
      </c>
    </row>
    <row r="178" spans="1:29" x14ac:dyDescent="0.25">
      <c r="A178" t="s">
        <v>141</v>
      </c>
      <c r="B178" t="s">
        <v>61</v>
      </c>
      <c r="C178" t="s">
        <v>68</v>
      </c>
      <c r="D178" t="s">
        <v>81</v>
      </c>
      <c r="E178" t="s">
        <v>66</v>
      </c>
      <c r="F178">
        <v>241</v>
      </c>
      <c r="G178">
        <v>308.87</v>
      </c>
      <c r="H178">
        <v>74438.600000000006</v>
      </c>
      <c r="I178">
        <v>9.2899999999999996E-2</v>
      </c>
      <c r="J178">
        <v>74437.67</v>
      </c>
      <c r="K178">
        <v>0.930000000007567</v>
      </c>
      <c r="L178">
        <v>67525.77</v>
      </c>
      <c r="M178">
        <v>67523.254100000006</v>
      </c>
      <c r="N178">
        <v>2.5159399999974994</v>
      </c>
      <c r="O178">
        <v>-234.45</v>
      </c>
      <c r="P178">
        <v>67291.320000000007</v>
      </c>
      <c r="Q178">
        <v>67291.320000000007</v>
      </c>
      <c r="R178">
        <v>0</v>
      </c>
      <c r="S178">
        <v>810309.21</v>
      </c>
      <c r="T178">
        <v>67525.77</v>
      </c>
      <c r="U178">
        <v>810309.24</v>
      </c>
      <c r="V178">
        <v>3.0000000027939677E-2</v>
      </c>
      <c r="W178" t="b">
        <v>1</v>
      </c>
      <c r="X178" t="b">
        <v>1</v>
      </c>
      <c r="Y178" t="b">
        <v>1</v>
      </c>
      <c r="Z178" t="b">
        <v>1</v>
      </c>
      <c r="AA178" t="b">
        <v>1</v>
      </c>
      <c r="AB178" t="s">
        <v>282</v>
      </c>
      <c r="AC178" t="s">
        <v>283</v>
      </c>
    </row>
    <row r="179" spans="1:29" x14ac:dyDescent="0.25">
      <c r="A179" t="s">
        <v>141</v>
      </c>
      <c r="B179" t="s">
        <v>61</v>
      </c>
      <c r="C179" t="s">
        <v>62</v>
      </c>
      <c r="D179" t="s">
        <v>81</v>
      </c>
      <c r="E179" t="s">
        <v>63</v>
      </c>
      <c r="F179">
        <v>244</v>
      </c>
      <c r="G179">
        <v>957.09</v>
      </c>
      <c r="H179">
        <v>233530.75</v>
      </c>
      <c r="I179">
        <v>0.20200000000000001</v>
      </c>
      <c r="J179">
        <v>233529.96000000002</v>
      </c>
      <c r="K179">
        <v>0.78999999997904524</v>
      </c>
      <c r="L179">
        <v>186364.28</v>
      </c>
      <c r="M179">
        <v>186357.5385</v>
      </c>
      <c r="N179">
        <v>6.7415000000037253</v>
      </c>
      <c r="O179">
        <v>5071.43</v>
      </c>
      <c r="P179">
        <v>191435.72</v>
      </c>
      <c r="Q179">
        <v>191435.71</v>
      </c>
      <c r="R179">
        <v>1.0000000009313226E-2</v>
      </c>
      <c r="S179">
        <v>2236371.41</v>
      </c>
      <c r="T179">
        <v>186364.28</v>
      </c>
      <c r="U179">
        <v>2236371.36</v>
      </c>
      <c r="V179">
        <v>5.0000000279396772E-2</v>
      </c>
      <c r="W179" t="b">
        <v>1</v>
      </c>
      <c r="X179" t="b">
        <v>1</v>
      </c>
      <c r="Y179" t="b">
        <v>1</v>
      </c>
      <c r="Z179" t="b">
        <v>1</v>
      </c>
      <c r="AA179" t="b">
        <v>1</v>
      </c>
      <c r="AB179" t="s">
        <v>282</v>
      </c>
      <c r="AC179" t="s">
        <v>283</v>
      </c>
    </row>
    <row r="180" spans="1:29" x14ac:dyDescent="0.25">
      <c r="A180" t="s">
        <v>141</v>
      </c>
      <c r="B180" t="s">
        <v>61</v>
      </c>
      <c r="C180" t="s">
        <v>65</v>
      </c>
      <c r="D180" t="s">
        <v>81</v>
      </c>
      <c r="E180" t="s">
        <v>63</v>
      </c>
      <c r="F180">
        <v>243</v>
      </c>
      <c r="G180">
        <v>674.05</v>
      </c>
      <c r="H180">
        <v>163794.97</v>
      </c>
      <c r="I180">
        <v>0.22339999999999999</v>
      </c>
      <c r="J180">
        <v>163794.15</v>
      </c>
      <c r="K180">
        <v>0.82000000000698492</v>
      </c>
      <c r="L180">
        <v>127207.95</v>
      </c>
      <c r="M180">
        <v>127203.1737</v>
      </c>
      <c r="N180">
        <v>4.7762979999970412</v>
      </c>
      <c r="O180">
        <v>8038.54</v>
      </c>
      <c r="P180">
        <v>135246.49</v>
      </c>
      <c r="Q180">
        <v>135246.49</v>
      </c>
      <c r="R180">
        <v>0</v>
      </c>
      <c r="S180">
        <v>1526495.45</v>
      </c>
      <c r="T180">
        <v>127207.95</v>
      </c>
      <c r="U180">
        <v>1526495.4</v>
      </c>
      <c r="V180">
        <v>5.0000000046566129E-2</v>
      </c>
      <c r="W180" t="b">
        <v>1</v>
      </c>
      <c r="X180" t="b">
        <v>1</v>
      </c>
      <c r="Y180" t="b">
        <v>1</v>
      </c>
      <c r="Z180" t="b">
        <v>1</v>
      </c>
      <c r="AA180" t="b">
        <v>1</v>
      </c>
      <c r="AB180" t="s">
        <v>282</v>
      </c>
      <c r="AC180" t="s">
        <v>283</v>
      </c>
    </row>
    <row r="181" spans="1:29" x14ac:dyDescent="0.25">
      <c r="A181" t="s">
        <v>141</v>
      </c>
      <c r="B181" t="s">
        <v>67</v>
      </c>
      <c r="C181" t="s">
        <v>65</v>
      </c>
      <c r="D181" t="s">
        <v>81</v>
      </c>
      <c r="E181" t="s">
        <v>69</v>
      </c>
      <c r="F181">
        <v>114</v>
      </c>
      <c r="G181">
        <v>374.29</v>
      </c>
      <c r="H181">
        <v>42669.45</v>
      </c>
      <c r="I181">
        <v>0.2049</v>
      </c>
      <c r="J181">
        <v>42669.060000000005</v>
      </c>
      <c r="K181">
        <v>0.38999999999214197</v>
      </c>
      <c r="L181">
        <v>33926.85</v>
      </c>
      <c r="M181">
        <v>33926.479700000004</v>
      </c>
      <c r="N181">
        <v>0.37030499999673339</v>
      </c>
      <c r="O181">
        <v>1762.33</v>
      </c>
      <c r="P181">
        <v>35689.19</v>
      </c>
      <c r="Q181">
        <v>35689.18</v>
      </c>
      <c r="R181">
        <v>1.0000000002037268E-2</v>
      </c>
      <c r="S181">
        <v>407122.24</v>
      </c>
      <c r="T181">
        <v>33926.85</v>
      </c>
      <c r="U181">
        <v>407122.2</v>
      </c>
      <c r="V181">
        <v>4.0000000037252903E-2</v>
      </c>
      <c r="W181" t="b">
        <v>1</v>
      </c>
      <c r="X181" t="b">
        <v>1</v>
      </c>
      <c r="Y181" t="b">
        <v>1</v>
      </c>
      <c r="Z181" t="b">
        <v>1</v>
      </c>
      <c r="AA181" t="b">
        <v>1</v>
      </c>
      <c r="AB181" t="s">
        <v>282</v>
      </c>
      <c r="AC181" t="s">
        <v>283</v>
      </c>
    </row>
    <row r="182" spans="1:29" x14ac:dyDescent="0.25">
      <c r="A182" t="s">
        <v>142</v>
      </c>
      <c r="B182" t="s">
        <v>67</v>
      </c>
      <c r="C182" t="s">
        <v>68</v>
      </c>
      <c r="D182" t="s">
        <v>75</v>
      </c>
      <c r="E182" t="s">
        <v>63</v>
      </c>
      <c r="F182">
        <v>190</v>
      </c>
      <c r="G182">
        <v>348.11</v>
      </c>
      <c r="H182">
        <v>66140.62</v>
      </c>
      <c r="I182">
        <v>0.2175</v>
      </c>
      <c r="J182">
        <v>66140.900000000009</v>
      </c>
      <c r="K182">
        <v>0.28000000001338776</v>
      </c>
      <c r="L182">
        <v>51752.02</v>
      </c>
      <c r="M182">
        <v>51755.035199999998</v>
      </c>
      <c r="N182">
        <v>3.0151499999992666</v>
      </c>
      <c r="O182">
        <v>-779.73</v>
      </c>
      <c r="P182">
        <v>50972.28</v>
      </c>
      <c r="Q182">
        <v>50972.29</v>
      </c>
      <c r="R182">
        <v>9.9999999947613105E-3</v>
      </c>
      <c r="S182">
        <v>621024.18000000005</v>
      </c>
      <c r="T182">
        <v>51752.02</v>
      </c>
      <c r="U182">
        <v>621024.24</v>
      </c>
      <c r="V182">
        <v>5.9999999939464033E-2</v>
      </c>
      <c r="W182" t="b">
        <v>1</v>
      </c>
      <c r="X182" t="b">
        <v>1</v>
      </c>
      <c r="Y182" t="b">
        <v>1</v>
      </c>
      <c r="Z182" t="b">
        <v>1</v>
      </c>
      <c r="AA182" t="b">
        <v>1</v>
      </c>
      <c r="AB182" t="s">
        <v>282</v>
      </c>
      <c r="AC182" t="s">
        <v>283</v>
      </c>
    </row>
    <row r="183" spans="1:29" x14ac:dyDescent="0.25">
      <c r="A183" t="s">
        <v>142</v>
      </c>
      <c r="B183" t="s">
        <v>64</v>
      </c>
      <c r="C183" t="s">
        <v>62</v>
      </c>
      <c r="D183" t="s">
        <v>81</v>
      </c>
      <c r="E183" t="s">
        <v>63</v>
      </c>
      <c r="F183">
        <v>114</v>
      </c>
      <c r="G183">
        <v>204.88</v>
      </c>
      <c r="H183">
        <v>23356.87</v>
      </c>
      <c r="I183">
        <v>9.7199999999999995E-2</v>
      </c>
      <c r="J183">
        <v>23356.32</v>
      </c>
      <c r="K183">
        <v>0.5499999999992724</v>
      </c>
      <c r="L183">
        <v>21085.919999999998</v>
      </c>
      <c r="M183">
        <v>21086.582200000001</v>
      </c>
      <c r="N183">
        <v>0.66223600000012084</v>
      </c>
      <c r="O183">
        <v>725.61</v>
      </c>
      <c r="P183">
        <v>21811.53</v>
      </c>
      <c r="Q183">
        <v>21811.53</v>
      </c>
      <c r="R183">
        <v>0</v>
      </c>
      <c r="S183">
        <v>253031.01</v>
      </c>
      <c r="T183">
        <v>21085.919999999998</v>
      </c>
      <c r="U183">
        <v>253031.04000000001</v>
      </c>
      <c r="V183">
        <v>2.9999999969732016E-2</v>
      </c>
      <c r="W183" t="b">
        <v>1</v>
      </c>
      <c r="X183" t="b">
        <v>1</v>
      </c>
      <c r="Y183" t="b">
        <v>1</v>
      </c>
      <c r="Z183" t="b">
        <v>1</v>
      </c>
      <c r="AA183" t="b">
        <v>1</v>
      </c>
      <c r="AB183" t="s">
        <v>282</v>
      </c>
      <c r="AC183" t="s">
        <v>283</v>
      </c>
    </row>
    <row r="184" spans="1:29" x14ac:dyDescent="0.25">
      <c r="A184" t="s">
        <v>142</v>
      </c>
      <c r="B184" t="s">
        <v>64</v>
      </c>
      <c r="C184" t="s">
        <v>68</v>
      </c>
      <c r="D184" t="s">
        <v>78</v>
      </c>
      <c r="E184" t="s">
        <v>66</v>
      </c>
      <c r="F184">
        <v>177</v>
      </c>
      <c r="G184">
        <v>1043.6500000000001</v>
      </c>
      <c r="H184">
        <v>184725.83</v>
      </c>
      <c r="I184">
        <v>4.5600000000000002E-2</v>
      </c>
      <c r="J184">
        <v>184726.05000000002</v>
      </c>
      <c r="K184">
        <v>0.22000000003026798</v>
      </c>
      <c r="L184">
        <v>176305.86</v>
      </c>
      <c r="M184">
        <v>176302.3322</v>
      </c>
      <c r="N184">
        <v>3.5278479999979027</v>
      </c>
      <c r="O184">
        <v>6397.58</v>
      </c>
      <c r="P184">
        <v>182703.44</v>
      </c>
      <c r="Q184">
        <v>182703.44</v>
      </c>
      <c r="R184">
        <v>2.9103830456733704E-11</v>
      </c>
      <c r="S184">
        <v>2115670.2999999998</v>
      </c>
      <c r="T184">
        <v>176305.86</v>
      </c>
      <c r="U184">
        <v>2115670.3199999998</v>
      </c>
      <c r="V184">
        <v>2.0000000018626451E-2</v>
      </c>
      <c r="W184" t="b">
        <v>1</v>
      </c>
      <c r="X184" t="b">
        <v>1</v>
      </c>
      <c r="Y184" t="b">
        <v>1</v>
      </c>
      <c r="Z184" t="b">
        <v>1</v>
      </c>
      <c r="AA184" t="b">
        <v>1</v>
      </c>
      <c r="AB184" t="s">
        <v>282</v>
      </c>
      <c r="AC184" t="s">
        <v>283</v>
      </c>
    </row>
    <row r="185" spans="1:29" x14ac:dyDescent="0.25">
      <c r="A185" t="s">
        <v>142</v>
      </c>
      <c r="B185" t="s">
        <v>67</v>
      </c>
      <c r="C185" t="s">
        <v>62</v>
      </c>
      <c r="D185" t="s">
        <v>81</v>
      </c>
      <c r="E185" t="s">
        <v>66</v>
      </c>
      <c r="F185">
        <v>77</v>
      </c>
      <c r="G185">
        <v>935.52</v>
      </c>
      <c r="H185">
        <v>72035.16</v>
      </c>
      <c r="I185">
        <v>0.2</v>
      </c>
      <c r="J185">
        <v>72035.039999999994</v>
      </c>
      <c r="K185">
        <v>0.1200000000098953</v>
      </c>
      <c r="L185">
        <v>57630.29</v>
      </c>
      <c r="M185">
        <v>57628.127999999997</v>
      </c>
      <c r="N185">
        <v>2.161999999996624</v>
      </c>
      <c r="O185">
        <v>4844.9799999999996</v>
      </c>
      <c r="P185">
        <v>62475.27</v>
      </c>
      <c r="Q185">
        <v>62475.27</v>
      </c>
      <c r="R185">
        <v>7.2759576141834259E-12</v>
      </c>
      <c r="S185">
        <v>691563.52000000002</v>
      </c>
      <c r="T185">
        <v>57630.29</v>
      </c>
      <c r="U185">
        <v>691563.48</v>
      </c>
      <c r="V185">
        <v>4.0000000037252903E-2</v>
      </c>
      <c r="W185" t="b">
        <v>1</v>
      </c>
      <c r="X185" t="b">
        <v>1</v>
      </c>
      <c r="Y185" t="b">
        <v>1</v>
      </c>
      <c r="Z185" t="b">
        <v>1</v>
      </c>
      <c r="AA185" t="b">
        <v>1</v>
      </c>
      <c r="AB185" t="s">
        <v>282</v>
      </c>
      <c r="AC185" t="s">
        <v>283</v>
      </c>
    </row>
    <row r="186" spans="1:29" x14ac:dyDescent="0.25">
      <c r="A186" t="s">
        <v>142</v>
      </c>
      <c r="B186" t="s">
        <v>64</v>
      </c>
      <c r="C186" t="s">
        <v>65</v>
      </c>
      <c r="D186" t="s">
        <v>81</v>
      </c>
      <c r="E186" t="s">
        <v>66</v>
      </c>
      <c r="F186">
        <v>236</v>
      </c>
      <c r="G186">
        <v>538.04999999999995</v>
      </c>
      <c r="H186">
        <v>126980.61</v>
      </c>
      <c r="I186">
        <v>0.112</v>
      </c>
      <c r="J186">
        <v>126979.79999999999</v>
      </c>
      <c r="K186">
        <v>0.81000000001222361</v>
      </c>
      <c r="L186">
        <v>112763.05</v>
      </c>
      <c r="M186">
        <v>112758.78170000001</v>
      </c>
      <c r="N186">
        <v>4.2683200000028592</v>
      </c>
      <c r="O186">
        <v>-3074.1</v>
      </c>
      <c r="P186">
        <v>109688.96000000001</v>
      </c>
      <c r="Q186">
        <v>109688.95</v>
      </c>
      <c r="R186">
        <v>1.0000000009313226E-2</v>
      </c>
      <c r="S186">
        <v>1353156.65</v>
      </c>
      <c r="T186">
        <v>112763.05</v>
      </c>
      <c r="U186">
        <v>1353156.6</v>
      </c>
      <c r="V186">
        <v>4.9999999813735485E-2</v>
      </c>
      <c r="W186" t="b">
        <v>1</v>
      </c>
      <c r="X186" t="b">
        <v>1</v>
      </c>
      <c r="Y186" t="b">
        <v>1</v>
      </c>
      <c r="Z186" t="b">
        <v>1</v>
      </c>
      <c r="AA186" t="b">
        <v>1</v>
      </c>
      <c r="AB186" t="s">
        <v>282</v>
      </c>
      <c r="AC186" t="s">
        <v>283</v>
      </c>
    </row>
    <row r="187" spans="1:29" x14ac:dyDescent="0.25">
      <c r="A187" t="s">
        <v>142</v>
      </c>
      <c r="B187" t="s">
        <v>61</v>
      </c>
      <c r="C187" t="s">
        <v>68</v>
      </c>
      <c r="D187" t="s">
        <v>75</v>
      </c>
      <c r="E187" t="s">
        <v>63</v>
      </c>
      <c r="F187">
        <v>126</v>
      </c>
      <c r="G187">
        <v>332.49</v>
      </c>
      <c r="H187">
        <v>41893.35</v>
      </c>
      <c r="I187">
        <v>5.8200000000000002E-2</v>
      </c>
      <c r="J187">
        <v>41893.74</v>
      </c>
      <c r="K187">
        <v>0.38999999999941792</v>
      </c>
      <c r="L187">
        <v>39453.22</v>
      </c>
      <c r="M187">
        <v>39455.156999999999</v>
      </c>
      <c r="N187">
        <v>1.9370300000009593</v>
      </c>
      <c r="O187">
        <v>5364.85</v>
      </c>
      <c r="P187">
        <v>44818.07</v>
      </c>
      <c r="Q187">
        <v>44818.07</v>
      </c>
      <c r="R187">
        <v>0</v>
      </c>
      <c r="S187">
        <v>473438.61</v>
      </c>
      <c r="T187">
        <v>39453.22</v>
      </c>
      <c r="U187">
        <v>473438.64</v>
      </c>
      <c r="V187">
        <v>3.0000000027939677E-2</v>
      </c>
      <c r="W187" t="b">
        <v>1</v>
      </c>
      <c r="X187" t="b">
        <v>1</v>
      </c>
      <c r="Y187" t="b">
        <v>1</v>
      </c>
      <c r="Z187" t="b">
        <v>1</v>
      </c>
      <c r="AA187" t="b">
        <v>1</v>
      </c>
      <c r="AB187" t="s">
        <v>282</v>
      </c>
      <c r="AC187" t="s">
        <v>283</v>
      </c>
    </row>
    <row r="188" spans="1:29" x14ac:dyDescent="0.25">
      <c r="A188" t="s">
        <v>142</v>
      </c>
      <c r="B188" t="s">
        <v>61</v>
      </c>
      <c r="C188" t="s">
        <v>62</v>
      </c>
      <c r="D188" t="s">
        <v>75</v>
      </c>
      <c r="E188" t="s">
        <v>63</v>
      </c>
      <c r="F188">
        <v>293</v>
      </c>
      <c r="G188">
        <v>569.77</v>
      </c>
      <c r="H188">
        <v>166943.63</v>
      </c>
      <c r="I188">
        <v>7.3700000000000002E-2</v>
      </c>
      <c r="J188">
        <v>166942.60999999999</v>
      </c>
      <c r="K188">
        <v>1.0200000000186265</v>
      </c>
      <c r="L188">
        <v>154644.21</v>
      </c>
      <c r="M188">
        <v>154639.88449999999</v>
      </c>
      <c r="N188">
        <v>4.3255309999804012</v>
      </c>
      <c r="O188">
        <v>4152.67</v>
      </c>
      <c r="P188">
        <v>158796.88</v>
      </c>
      <c r="Q188">
        <v>158796.88</v>
      </c>
      <c r="R188">
        <v>0</v>
      </c>
      <c r="S188">
        <v>1855730.54</v>
      </c>
      <c r="T188">
        <v>154644.21</v>
      </c>
      <c r="U188">
        <v>1855730.52</v>
      </c>
      <c r="V188">
        <v>2.0000000018626451E-2</v>
      </c>
      <c r="W188" t="b">
        <v>1</v>
      </c>
      <c r="X188" t="b">
        <v>1</v>
      </c>
      <c r="Y188" t="b">
        <v>1</v>
      </c>
      <c r="Z188" t="b">
        <v>1</v>
      </c>
      <c r="AA188" t="b">
        <v>1</v>
      </c>
      <c r="AB188" t="s">
        <v>282</v>
      </c>
      <c r="AC188" t="s">
        <v>283</v>
      </c>
    </row>
    <row r="189" spans="1:29" x14ac:dyDescent="0.25">
      <c r="A189" t="s">
        <v>142</v>
      </c>
      <c r="B189" t="s">
        <v>61</v>
      </c>
      <c r="C189" t="s">
        <v>65</v>
      </c>
      <c r="D189" t="s">
        <v>75</v>
      </c>
      <c r="E189" t="s">
        <v>69</v>
      </c>
      <c r="F189">
        <v>280</v>
      </c>
      <c r="G189">
        <v>427.52</v>
      </c>
      <c r="H189">
        <v>119705.86</v>
      </c>
      <c r="I189">
        <v>0.16270000000000001</v>
      </c>
      <c r="J189">
        <v>119705.59999999999</v>
      </c>
      <c r="K189">
        <v>0.26000000000931323</v>
      </c>
      <c r="L189">
        <v>100223.96</v>
      </c>
      <c r="M189">
        <v>100229.7166</v>
      </c>
      <c r="N189">
        <v>5.7565779999858933</v>
      </c>
      <c r="O189">
        <v>-8095.54</v>
      </c>
      <c r="P189">
        <v>92128.42</v>
      </c>
      <c r="Q189">
        <v>92128.42</v>
      </c>
      <c r="R189">
        <v>1.4551915228366852E-11</v>
      </c>
      <c r="S189">
        <v>1202687.54</v>
      </c>
      <c r="T189">
        <v>100223.96</v>
      </c>
      <c r="U189">
        <v>1202687.52</v>
      </c>
      <c r="V189">
        <v>2.0000000018626451E-2</v>
      </c>
      <c r="W189" t="b">
        <v>1</v>
      </c>
      <c r="X189" t="b">
        <v>1</v>
      </c>
      <c r="Y189" t="b">
        <v>1</v>
      </c>
      <c r="Z189" t="b">
        <v>1</v>
      </c>
      <c r="AA189" t="b">
        <v>1</v>
      </c>
      <c r="AB189" t="s">
        <v>282</v>
      </c>
      <c r="AC189" t="s">
        <v>283</v>
      </c>
    </row>
    <row r="190" spans="1:29" x14ac:dyDescent="0.25">
      <c r="A190" t="s">
        <v>142</v>
      </c>
      <c r="B190" t="s">
        <v>67</v>
      </c>
      <c r="C190" t="s">
        <v>65</v>
      </c>
      <c r="D190" t="s">
        <v>78</v>
      </c>
      <c r="E190" t="s">
        <v>66</v>
      </c>
      <c r="F190">
        <v>180</v>
      </c>
      <c r="G190">
        <v>694.58</v>
      </c>
      <c r="H190">
        <v>125023.85</v>
      </c>
      <c r="I190">
        <v>1.6299999999999999E-2</v>
      </c>
      <c r="J190">
        <v>125024.40000000001</v>
      </c>
      <c r="K190">
        <v>0.55000000000291038</v>
      </c>
      <c r="L190">
        <v>122986.44</v>
      </c>
      <c r="M190">
        <v>122985.96120000001</v>
      </c>
      <c r="N190">
        <v>0.47875499998917803</v>
      </c>
      <c r="O190">
        <v>10789.83</v>
      </c>
      <c r="P190">
        <v>133776.26999999999</v>
      </c>
      <c r="Q190">
        <v>133776.26999999999</v>
      </c>
      <c r="R190">
        <v>0</v>
      </c>
      <c r="S190">
        <v>1475837.28</v>
      </c>
      <c r="T190">
        <v>122986.44</v>
      </c>
      <c r="U190">
        <v>1475837.28</v>
      </c>
      <c r="V190">
        <v>0</v>
      </c>
      <c r="W190" t="b">
        <v>1</v>
      </c>
      <c r="X190" t="b">
        <v>1</v>
      </c>
      <c r="Y190" t="b">
        <v>1</v>
      </c>
      <c r="Z190" t="b">
        <v>1</v>
      </c>
      <c r="AA190" t="b">
        <v>1</v>
      </c>
      <c r="AB190" t="s">
        <v>282</v>
      </c>
      <c r="AC190" t="s">
        <v>283</v>
      </c>
    </row>
    <row r="191" spans="1:29" x14ac:dyDescent="0.25">
      <c r="A191" t="s">
        <v>143</v>
      </c>
      <c r="B191" t="s">
        <v>64</v>
      </c>
      <c r="C191" t="s">
        <v>68</v>
      </c>
      <c r="D191" t="s">
        <v>78</v>
      </c>
      <c r="E191" t="s">
        <v>66</v>
      </c>
      <c r="F191">
        <v>111</v>
      </c>
      <c r="G191">
        <v>650.12</v>
      </c>
      <c r="H191">
        <v>72163.850000000006</v>
      </c>
      <c r="I191">
        <v>0.11260000000000001</v>
      </c>
      <c r="J191">
        <v>72163.320000000007</v>
      </c>
      <c r="K191">
        <v>0.52999999999883585</v>
      </c>
      <c r="L191">
        <v>64040.03</v>
      </c>
      <c r="M191">
        <v>64038.200499999999</v>
      </c>
      <c r="N191">
        <v>1.8295099999959348</v>
      </c>
      <c r="O191">
        <v>8800.0499999999993</v>
      </c>
      <c r="P191">
        <v>72840.08</v>
      </c>
      <c r="Q191">
        <v>72840.08</v>
      </c>
      <c r="R191">
        <v>0</v>
      </c>
      <c r="S191">
        <v>768480.4</v>
      </c>
      <c r="T191">
        <v>64040.03</v>
      </c>
      <c r="U191">
        <v>768480.36</v>
      </c>
      <c r="V191">
        <v>4.0000000037252903E-2</v>
      </c>
      <c r="W191" t="b">
        <v>1</v>
      </c>
      <c r="X191" t="b">
        <v>1</v>
      </c>
      <c r="Y191" t="b">
        <v>1</v>
      </c>
      <c r="Z191" t="b">
        <v>1</v>
      </c>
      <c r="AA191" t="b">
        <v>1</v>
      </c>
      <c r="AB191" t="s">
        <v>282</v>
      </c>
      <c r="AC191" t="s">
        <v>283</v>
      </c>
    </row>
    <row r="192" spans="1:29" x14ac:dyDescent="0.25">
      <c r="A192" t="s">
        <v>143</v>
      </c>
      <c r="B192" t="s">
        <v>64</v>
      </c>
      <c r="C192" t="s">
        <v>62</v>
      </c>
      <c r="D192" t="s">
        <v>75</v>
      </c>
      <c r="E192" t="s">
        <v>69</v>
      </c>
      <c r="F192">
        <v>98</v>
      </c>
      <c r="G192">
        <v>950.83</v>
      </c>
      <c r="H192">
        <v>93180.94</v>
      </c>
      <c r="I192">
        <v>0.1986</v>
      </c>
      <c r="J192">
        <v>93181.340000000011</v>
      </c>
      <c r="K192">
        <v>0.40000000000873115</v>
      </c>
      <c r="L192">
        <v>74676.67</v>
      </c>
      <c r="M192">
        <v>74675.205300000001</v>
      </c>
      <c r="N192">
        <v>1.4646839999913936</v>
      </c>
      <c r="O192">
        <v>-6518.68</v>
      </c>
      <c r="P192">
        <v>68157.990000000005</v>
      </c>
      <c r="Q192">
        <v>68157.990000000005</v>
      </c>
      <c r="R192">
        <v>1.4551915228366852E-11</v>
      </c>
      <c r="S192">
        <v>896120.05</v>
      </c>
      <c r="T192">
        <v>74676.67</v>
      </c>
      <c r="U192">
        <v>896120.04</v>
      </c>
      <c r="V192">
        <v>1.0000000009313226E-2</v>
      </c>
      <c r="W192" t="b">
        <v>1</v>
      </c>
      <c r="X192" t="b">
        <v>1</v>
      </c>
      <c r="Y192" t="b">
        <v>1</v>
      </c>
      <c r="Z192" t="b">
        <v>1</v>
      </c>
      <c r="AA192" t="b">
        <v>1</v>
      </c>
      <c r="AB192" t="s">
        <v>282</v>
      </c>
      <c r="AC192" t="s">
        <v>283</v>
      </c>
    </row>
    <row r="193" spans="1:29" x14ac:dyDescent="0.25">
      <c r="A193" t="s">
        <v>143</v>
      </c>
      <c r="B193" t="s">
        <v>64</v>
      </c>
      <c r="C193" t="s">
        <v>65</v>
      </c>
      <c r="D193" t="s">
        <v>75</v>
      </c>
      <c r="E193" t="s">
        <v>63</v>
      </c>
      <c r="F193">
        <v>282</v>
      </c>
      <c r="G193">
        <v>202.2</v>
      </c>
      <c r="H193">
        <v>57020.88</v>
      </c>
      <c r="I193">
        <v>1.4999999999999999E-2</v>
      </c>
      <c r="J193">
        <v>57020.399999999994</v>
      </c>
      <c r="K193">
        <v>0.48000000000320142</v>
      </c>
      <c r="L193">
        <v>56167.98</v>
      </c>
      <c r="M193">
        <v>56165.566800000001</v>
      </c>
      <c r="N193">
        <v>2.4132000000026892</v>
      </c>
      <c r="O193">
        <v>-4775.4799999999996</v>
      </c>
      <c r="P193">
        <v>51392.5</v>
      </c>
      <c r="Q193">
        <v>51392.5</v>
      </c>
      <c r="R193">
        <v>0</v>
      </c>
      <c r="S193">
        <v>674015.77</v>
      </c>
      <c r="T193">
        <v>56167.98</v>
      </c>
      <c r="U193">
        <v>674015.76</v>
      </c>
      <c r="V193">
        <v>1.0000000009313226E-2</v>
      </c>
      <c r="W193" t="b">
        <v>1</v>
      </c>
      <c r="X193" t="b">
        <v>1</v>
      </c>
      <c r="Y193" t="b">
        <v>1</v>
      </c>
      <c r="Z193" t="b">
        <v>1</v>
      </c>
      <c r="AA193" t="b">
        <v>1</v>
      </c>
      <c r="AB193" t="s">
        <v>282</v>
      </c>
      <c r="AC193" t="s">
        <v>283</v>
      </c>
    </row>
    <row r="194" spans="1:29" x14ac:dyDescent="0.25">
      <c r="A194" t="s">
        <v>143</v>
      </c>
      <c r="B194" t="s">
        <v>67</v>
      </c>
      <c r="C194" t="s">
        <v>68</v>
      </c>
      <c r="D194" t="s">
        <v>81</v>
      </c>
      <c r="E194" t="s">
        <v>63</v>
      </c>
      <c r="F194">
        <v>247</v>
      </c>
      <c r="G194">
        <v>414.06</v>
      </c>
      <c r="H194">
        <v>102272.85</v>
      </c>
      <c r="I194">
        <v>5.5300000000000002E-2</v>
      </c>
      <c r="J194">
        <v>102272.82</v>
      </c>
      <c r="K194">
        <v>2.9999999998835847E-2</v>
      </c>
      <c r="L194">
        <v>96615.6</v>
      </c>
      <c r="M194">
        <v>96617.161399999997</v>
      </c>
      <c r="N194">
        <v>1.5613949999969918</v>
      </c>
      <c r="O194">
        <v>9165.14</v>
      </c>
      <c r="P194">
        <v>105780.74</v>
      </c>
      <c r="Q194">
        <v>105780.74</v>
      </c>
      <c r="R194">
        <v>0</v>
      </c>
      <c r="S194">
        <v>1159387.26</v>
      </c>
      <c r="T194">
        <v>96615.6</v>
      </c>
      <c r="U194">
        <v>1159387.2</v>
      </c>
      <c r="V194">
        <v>5.9999999823048711E-2</v>
      </c>
      <c r="W194" t="b">
        <v>1</v>
      </c>
      <c r="X194" t="b">
        <v>1</v>
      </c>
      <c r="Y194" t="b">
        <v>1</v>
      </c>
      <c r="Z194" t="b">
        <v>1</v>
      </c>
      <c r="AA194" t="b">
        <v>1</v>
      </c>
      <c r="AB194" t="s">
        <v>282</v>
      </c>
      <c r="AC194" t="s">
        <v>283</v>
      </c>
    </row>
    <row r="195" spans="1:29" x14ac:dyDescent="0.25">
      <c r="A195" t="s">
        <v>143</v>
      </c>
      <c r="B195" t="s">
        <v>67</v>
      </c>
      <c r="C195" t="s">
        <v>62</v>
      </c>
      <c r="D195" t="s">
        <v>75</v>
      </c>
      <c r="E195" t="s">
        <v>63</v>
      </c>
      <c r="F195">
        <v>122</v>
      </c>
      <c r="G195">
        <v>876.24</v>
      </c>
      <c r="H195">
        <v>106900.88</v>
      </c>
      <c r="I195">
        <v>3.9699999999999999E-2</v>
      </c>
      <c r="J195">
        <v>106901.28</v>
      </c>
      <c r="K195">
        <v>0.39999999999417923</v>
      </c>
      <c r="L195">
        <v>102653.13</v>
      </c>
      <c r="M195">
        <v>102656.9151</v>
      </c>
      <c r="N195">
        <v>3.7850639999960549</v>
      </c>
      <c r="O195">
        <v>15394.65</v>
      </c>
      <c r="P195">
        <v>118047.77</v>
      </c>
      <c r="Q195">
        <v>118047.78</v>
      </c>
      <c r="R195">
        <v>9.9999999947613105E-3</v>
      </c>
      <c r="S195">
        <v>1231837.54</v>
      </c>
      <c r="T195">
        <v>102653.13</v>
      </c>
      <c r="U195">
        <v>1231837.56</v>
      </c>
      <c r="V195">
        <v>2.0000000018626451E-2</v>
      </c>
      <c r="W195" t="b">
        <v>1</v>
      </c>
      <c r="X195" t="b">
        <v>1</v>
      </c>
      <c r="Y195" t="b">
        <v>1</v>
      </c>
      <c r="Z195" t="b">
        <v>1</v>
      </c>
      <c r="AA195" t="b">
        <v>1</v>
      </c>
      <c r="AB195" t="s">
        <v>282</v>
      </c>
      <c r="AC195" t="s">
        <v>283</v>
      </c>
    </row>
    <row r="196" spans="1:29" x14ac:dyDescent="0.25">
      <c r="A196" t="s">
        <v>143</v>
      </c>
      <c r="B196" t="s">
        <v>61</v>
      </c>
      <c r="C196" t="s">
        <v>68</v>
      </c>
      <c r="D196" t="s">
        <v>78</v>
      </c>
      <c r="E196" t="s">
        <v>69</v>
      </c>
      <c r="F196">
        <v>85</v>
      </c>
      <c r="G196">
        <v>666.58</v>
      </c>
      <c r="H196">
        <v>56659.47</v>
      </c>
      <c r="I196">
        <v>0.15260000000000001</v>
      </c>
      <c r="J196">
        <v>56659.3</v>
      </c>
      <c r="K196">
        <v>0.16999999999825377</v>
      </c>
      <c r="L196">
        <v>48015.8</v>
      </c>
      <c r="M196">
        <v>48013.234900000003</v>
      </c>
      <c r="N196">
        <v>2.5651219999999739</v>
      </c>
      <c r="O196">
        <v>1191.54</v>
      </c>
      <c r="P196">
        <v>49207.34</v>
      </c>
      <c r="Q196">
        <v>49207.34</v>
      </c>
      <c r="R196">
        <v>7.2759576141834259E-12</v>
      </c>
      <c r="S196">
        <v>576189.62</v>
      </c>
      <c r="T196">
        <v>48015.8</v>
      </c>
      <c r="U196">
        <v>576189.6</v>
      </c>
      <c r="V196">
        <v>1.999999990221113E-2</v>
      </c>
      <c r="W196" t="b">
        <v>1</v>
      </c>
      <c r="X196" t="b">
        <v>1</v>
      </c>
      <c r="Y196" t="b">
        <v>1</v>
      </c>
      <c r="Z196" t="b">
        <v>1</v>
      </c>
      <c r="AA196" t="b">
        <v>1</v>
      </c>
      <c r="AB196" t="s">
        <v>282</v>
      </c>
      <c r="AC196" t="s">
        <v>283</v>
      </c>
    </row>
    <row r="197" spans="1:29" x14ac:dyDescent="0.25">
      <c r="A197" t="s">
        <v>143</v>
      </c>
      <c r="B197" t="s">
        <v>61</v>
      </c>
      <c r="C197" t="s">
        <v>62</v>
      </c>
      <c r="D197" t="s">
        <v>81</v>
      </c>
      <c r="E197" t="s">
        <v>69</v>
      </c>
      <c r="F197">
        <v>147</v>
      </c>
      <c r="G197">
        <v>991.56</v>
      </c>
      <c r="H197">
        <v>145759.32</v>
      </c>
      <c r="I197">
        <v>1.9699999999999999E-2</v>
      </c>
      <c r="J197">
        <v>145759.31999999998</v>
      </c>
      <c r="K197">
        <v>2.9103830456733704E-11</v>
      </c>
      <c r="L197">
        <v>142895.14000000001</v>
      </c>
      <c r="M197">
        <v>142887.86139999999</v>
      </c>
      <c r="N197">
        <v>7.278604000021005</v>
      </c>
      <c r="O197">
        <v>19316.990000000002</v>
      </c>
      <c r="P197">
        <v>162212.13</v>
      </c>
      <c r="Q197">
        <v>162212.13</v>
      </c>
      <c r="R197">
        <v>0</v>
      </c>
      <c r="S197">
        <v>1714741.7</v>
      </c>
      <c r="T197">
        <v>142895.14000000001</v>
      </c>
      <c r="U197">
        <v>1714741.68</v>
      </c>
      <c r="V197">
        <v>1.9999999785795808E-2</v>
      </c>
      <c r="W197" t="b">
        <v>1</v>
      </c>
      <c r="X197" t="b">
        <v>1</v>
      </c>
      <c r="Y197" t="b">
        <v>1</v>
      </c>
      <c r="Z197" t="b">
        <v>1</v>
      </c>
      <c r="AA197" t="b">
        <v>1</v>
      </c>
      <c r="AB197" t="s">
        <v>282</v>
      </c>
      <c r="AC197" t="s">
        <v>283</v>
      </c>
    </row>
    <row r="198" spans="1:29" x14ac:dyDescent="0.25">
      <c r="A198" t="s">
        <v>143</v>
      </c>
      <c r="B198" t="s">
        <v>61</v>
      </c>
      <c r="C198" t="s">
        <v>65</v>
      </c>
      <c r="D198" t="s">
        <v>78</v>
      </c>
      <c r="E198" t="s">
        <v>66</v>
      </c>
      <c r="F198">
        <v>216</v>
      </c>
      <c r="G198">
        <v>659.93</v>
      </c>
      <c r="H198">
        <v>142545.39000000001</v>
      </c>
      <c r="I198">
        <v>0.18840000000000001</v>
      </c>
      <c r="J198">
        <v>142544.87999999998</v>
      </c>
      <c r="K198">
        <v>0.51000000003841706</v>
      </c>
      <c r="L198">
        <v>115687.02</v>
      </c>
      <c r="M198">
        <v>115689.8385</v>
      </c>
      <c r="N198">
        <v>2.8185240000020713</v>
      </c>
      <c r="O198">
        <v>11285.87</v>
      </c>
      <c r="P198">
        <v>126972.89</v>
      </c>
      <c r="Q198">
        <v>126972.89</v>
      </c>
      <c r="R198">
        <v>0</v>
      </c>
      <c r="S198">
        <v>1388244.22</v>
      </c>
      <c r="T198">
        <v>115687.02</v>
      </c>
      <c r="U198">
        <v>1388244.24</v>
      </c>
      <c r="V198">
        <v>2.0000000018626451E-2</v>
      </c>
      <c r="W198" t="b">
        <v>1</v>
      </c>
      <c r="X198" t="b">
        <v>1</v>
      </c>
      <c r="Y198" t="b">
        <v>1</v>
      </c>
      <c r="Z198" t="b">
        <v>1</v>
      </c>
      <c r="AA198" t="b">
        <v>1</v>
      </c>
      <c r="AB198" t="s">
        <v>282</v>
      </c>
      <c r="AC198" t="s">
        <v>283</v>
      </c>
    </row>
    <row r="199" spans="1:29" x14ac:dyDescent="0.25">
      <c r="A199" t="s">
        <v>143</v>
      </c>
      <c r="B199" t="s">
        <v>67</v>
      </c>
      <c r="C199" t="s">
        <v>65</v>
      </c>
      <c r="D199" t="s">
        <v>78</v>
      </c>
      <c r="E199" t="s">
        <v>69</v>
      </c>
      <c r="F199">
        <v>234</v>
      </c>
      <c r="G199">
        <v>225.58</v>
      </c>
      <c r="H199">
        <v>52785.67</v>
      </c>
      <c r="I199">
        <v>0.23269999999999999</v>
      </c>
      <c r="J199">
        <v>52785.72</v>
      </c>
      <c r="K199">
        <v>5.0000000002910383E-2</v>
      </c>
      <c r="L199">
        <v>40502.99</v>
      </c>
      <c r="M199">
        <v>40502.444600000003</v>
      </c>
      <c r="N199">
        <v>0.5454089999984717</v>
      </c>
      <c r="O199">
        <v>5888.93</v>
      </c>
      <c r="P199">
        <v>46391.92</v>
      </c>
      <c r="Q199">
        <v>46391.92</v>
      </c>
      <c r="R199">
        <v>0</v>
      </c>
      <c r="S199">
        <v>486035.9</v>
      </c>
      <c r="T199">
        <v>40502.99</v>
      </c>
      <c r="U199">
        <v>486035.88</v>
      </c>
      <c r="V199">
        <v>2.0000000018626451E-2</v>
      </c>
      <c r="W199" t="b">
        <v>1</v>
      </c>
      <c r="X199" t="b">
        <v>1</v>
      </c>
      <c r="Y199" t="b">
        <v>1</v>
      </c>
      <c r="Z199" t="b">
        <v>1</v>
      </c>
      <c r="AA199" t="b">
        <v>1</v>
      </c>
      <c r="AB199" t="s">
        <v>282</v>
      </c>
      <c r="AC199" t="s">
        <v>283</v>
      </c>
    </row>
    <row r="200" spans="1:29" x14ac:dyDescent="0.25">
      <c r="A200" t="s">
        <v>144</v>
      </c>
      <c r="B200" t="s">
        <v>64</v>
      </c>
      <c r="C200" t="s">
        <v>68</v>
      </c>
      <c r="D200" t="s">
        <v>81</v>
      </c>
      <c r="E200" t="s">
        <v>69</v>
      </c>
      <c r="F200">
        <v>177</v>
      </c>
      <c r="G200">
        <v>315.95999999999998</v>
      </c>
      <c r="H200">
        <v>55925.59</v>
      </c>
      <c r="I200">
        <v>5.8400000000000001E-2</v>
      </c>
      <c r="J200">
        <v>55924.92</v>
      </c>
      <c r="K200">
        <v>0.66999999999825377</v>
      </c>
      <c r="L200">
        <v>52661.17</v>
      </c>
      <c r="M200">
        <v>52659.535499999998</v>
      </c>
      <c r="N200">
        <v>1.6344559999997728</v>
      </c>
      <c r="O200">
        <v>-2487.13</v>
      </c>
      <c r="P200">
        <v>50174.05</v>
      </c>
      <c r="Q200">
        <v>50174.04</v>
      </c>
      <c r="R200">
        <v>1.0000000002037268E-2</v>
      </c>
      <c r="S200">
        <v>631934.06999999995</v>
      </c>
      <c r="T200">
        <v>52661.17</v>
      </c>
      <c r="U200">
        <v>631934.04</v>
      </c>
      <c r="V200">
        <v>2.9999999911524355E-2</v>
      </c>
      <c r="W200" t="b">
        <v>1</v>
      </c>
      <c r="X200" t="b">
        <v>1</v>
      </c>
      <c r="Y200" t="b">
        <v>1</v>
      </c>
      <c r="Z200" t="b">
        <v>1</v>
      </c>
      <c r="AA200" t="b">
        <v>1</v>
      </c>
      <c r="AB200" t="s">
        <v>282</v>
      </c>
      <c r="AC200" t="s">
        <v>283</v>
      </c>
    </row>
    <row r="201" spans="1:29" x14ac:dyDescent="0.25">
      <c r="A201" t="s">
        <v>144</v>
      </c>
      <c r="B201" t="s">
        <v>64</v>
      </c>
      <c r="C201" t="s">
        <v>62</v>
      </c>
      <c r="D201" t="s">
        <v>81</v>
      </c>
      <c r="E201" t="s">
        <v>66</v>
      </c>
      <c r="F201">
        <v>300</v>
      </c>
      <c r="G201">
        <v>436.63</v>
      </c>
      <c r="H201">
        <v>130988.28</v>
      </c>
      <c r="I201">
        <v>3.9899999999999998E-2</v>
      </c>
      <c r="J201">
        <v>130989</v>
      </c>
      <c r="K201">
        <v>0.72000000000116415</v>
      </c>
      <c r="L201">
        <v>125764.99</v>
      </c>
      <c r="M201">
        <v>125761.84759999999</v>
      </c>
      <c r="N201">
        <v>3.1423720000020694</v>
      </c>
      <c r="O201">
        <v>-7959.98</v>
      </c>
      <c r="P201">
        <v>117805.01</v>
      </c>
      <c r="Q201">
        <v>117805.01</v>
      </c>
      <c r="R201">
        <v>1.4551915228366852E-11</v>
      </c>
      <c r="S201">
        <v>1509179.88</v>
      </c>
      <c r="T201">
        <v>125764.99</v>
      </c>
      <c r="U201">
        <v>1509179.88</v>
      </c>
      <c r="V201">
        <v>2.3283064365386963E-10</v>
      </c>
      <c r="W201" t="b">
        <v>1</v>
      </c>
      <c r="X201" t="b">
        <v>1</v>
      </c>
      <c r="Y201" t="b">
        <v>1</v>
      </c>
      <c r="Z201" t="b">
        <v>1</v>
      </c>
      <c r="AA201" t="b">
        <v>1</v>
      </c>
      <c r="AB201" t="s">
        <v>282</v>
      </c>
      <c r="AC201" t="s">
        <v>283</v>
      </c>
    </row>
    <row r="202" spans="1:29" x14ac:dyDescent="0.25">
      <c r="A202" t="s">
        <v>144</v>
      </c>
      <c r="B202" t="s">
        <v>64</v>
      </c>
      <c r="C202" t="s">
        <v>65</v>
      </c>
      <c r="D202" t="s">
        <v>75</v>
      </c>
      <c r="E202" t="s">
        <v>69</v>
      </c>
      <c r="F202">
        <v>105</v>
      </c>
      <c r="G202">
        <v>989.08</v>
      </c>
      <c r="H202">
        <v>103853.3</v>
      </c>
      <c r="I202">
        <v>0.1384</v>
      </c>
      <c r="J202">
        <v>103853.40000000001</v>
      </c>
      <c r="K202">
        <v>0.10000000000582077</v>
      </c>
      <c r="L202">
        <v>89478.5</v>
      </c>
      <c r="M202">
        <v>89480.003299999997</v>
      </c>
      <c r="N202">
        <v>1.5032800000044517</v>
      </c>
      <c r="O202">
        <v>1216.07</v>
      </c>
      <c r="P202">
        <v>90694.57</v>
      </c>
      <c r="Q202">
        <v>90694.57</v>
      </c>
      <c r="R202">
        <v>0</v>
      </c>
      <c r="S202">
        <v>1073742.02</v>
      </c>
      <c r="T202">
        <v>89478.5</v>
      </c>
      <c r="U202">
        <v>1073742</v>
      </c>
      <c r="V202">
        <v>2.0000000018626451E-2</v>
      </c>
      <c r="W202" t="b">
        <v>1</v>
      </c>
      <c r="X202" t="b">
        <v>1</v>
      </c>
      <c r="Y202" t="b">
        <v>1</v>
      </c>
      <c r="Z202" t="b">
        <v>1</v>
      </c>
      <c r="AA202" t="b">
        <v>1</v>
      </c>
      <c r="AB202" t="s">
        <v>282</v>
      </c>
      <c r="AC202" t="s">
        <v>283</v>
      </c>
    </row>
    <row r="203" spans="1:29" x14ac:dyDescent="0.25">
      <c r="A203" t="s">
        <v>144</v>
      </c>
      <c r="B203" t="s">
        <v>67</v>
      </c>
      <c r="C203" t="s">
        <v>68</v>
      </c>
      <c r="D203" t="s">
        <v>81</v>
      </c>
      <c r="E203" t="s">
        <v>63</v>
      </c>
      <c r="F203">
        <v>147</v>
      </c>
      <c r="G203">
        <v>540.01</v>
      </c>
      <c r="H203">
        <v>79380.850000000006</v>
      </c>
      <c r="I203">
        <v>3.2000000000000001E-2</v>
      </c>
      <c r="J203">
        <v>79381.47</v>
      </c>
      <c r="K203">
        <v>0.61999999999534339</v>
      </c>
      <c r="L203">
        <v>76842.63</v>
      </c>
      <c r="M203">
        <v>76840.662800000006</v>
      </c>
      <c r="N203">
        <v>1.9671999999991385</v>
      </c>
      <c r="O203">
        <v>5519.53</v>
      </c>
      <c r="P203">
        <v>82362.16</v>
      </c>
      <c r="Q203">
        <v>82362.16</v>
      </c>
      <c r="R203">
        <v>0</v>
      </c>
      <c r="S203">
        <v>922111.58</v>
      </c>
      <c r="T203">
        <v>76842.63</v>
      </c>
      <c r="U203">
        <v>922111.56</v>
      </c>
      <c r="V203">
        <v>1.999999990221113E-2</v>
      </c>
      <c r="W203" t="b">
        <v>1</v>
      </c>
      <c r="X203" t="b">
        <v>1</v>
      </c>
      <c r="Y203" t="b">
        <v>1</v>
      </c>
      <c r="Z203" t="b">
        <v>1</v>
      </c>
      <c r="AA203" t="b">
        <v>1</v>
      </c>
      <c r="AB203" t="s">
        <v>282</v>
      </c>
      <c r="AC203" t="s">
        <v>283</v>
      </c>
    </row>
    <row r="204" spans="1:29" x14ac:dyDescent="0.25">
      <c r="A204" t="s">
        <v>144</v>
      </c>
      <c r="B204" t="s">
        <v>61</v>
      </c>
      <c r="C204" t="s">
        <v>68</v>
      </c>
      <c r="D204" t="s">
        <v>81</v>
      </c>
      <c r="E204" t="s">
        <v>69</v>
      </c>
      <c r="F204">
        <v>233</v>
      </c>
      <c r="G204">
        <v>726.16</v>
      </c>
      <c r="H204">
        <v>169195.01</v>
      </c>
      <c r="I204">
        <v>4.5100000000000001E-2</v>
      </c>
      <c r="J204">
        <v>169195.28</v>
      </c>
      <c r="K204">
        <v>0.26999999998952262</v>
      </c>
      <c r="L204">
        <v>161559.95000000001</v>
      </c>
      <c r="M204">
        <v>161564.315</v>
      </c>
      <c r="N204">
        <v>4.3650489999854472</v>
      </c>
      <c r="O204">
        <v>16290.89</v>
      </c>
      <c r="P204">
        <v>177850.84</v>
      </c>
      <c r="Q204">
        <v>177850.84</v>
      </c>
      <c r="R204">
        <v>2.9103830456733704E-11</v>
      </c>
      <c r="S204">
        <v>1938719.38</v>
      </c>
      <c r="T204">
        <v>161559.95000000001</v>
      </c>
      <c r="U204">
        <v>1938719.4</v>
      </c>
      <c r="V204">
        <v>2.0000000251457095E-2</v>
      </c>
      <c r="W204" t="b">
        <v>1</v>
      </c>
      <c r="X204" t="b">
        <v>1</v>
      </c>
      <c r="Y204" t="b">
        <v>1</v>
      </c>
      <c r="Z204" t="b">
        <v>1</v>
      </c>
      <c r="AA204" t="b">
        <v>1</v>
      </c>
      <c r="AB204" t="s">
        <v>282</v>
      </c>
      <c r="AC204" t="s">
        <v>283</v>
      </c>
    </row>
    <row r="205" spans="1:29" x14ac:dyDescent="0.25">
      <c r="A205" t="s">
        <v>144</v>
      </c>
      <c r="B205" t="s">
        <v>67</v>
      </c>
      <c r="C205" t="s">
        <v>65</v>
      </c>
      <c r="D205" t="s">
        <v>75</v>
      </c>
      <c r="E205" t="s">
        <v>69</v>
      </c>
      <c r="F205">
        <v>200</v>
      </c>
      <c r="G205">
        <v>638.04999999999995</v>
      </c>
      <c r="H205">
        <v>127609.59</v>
      </c>
      <c r="I205">
        <v>6.7100000000000007E-2</v>
      </c>
      <c r="J205">
        <v>127609.99999999999</v>
      </c>
      <c r="K205">
        <v>0.40999999998894054</v>
      </c>
      <c r="L205">
        <v>119053.34</v>
      </c>
      <c r="M205">
        <v>119046.9865</v>
      </c>
      <c r="N205">
        <v>6.3534890000009909</v>
      </c>
      <c r="O205">
        <v>-1254.9000000000001</v>
      </c>
      <c r="P205">
        <v>117798.44</v>
      </c>
      <c r="Q205">
        <v>117798.44</v>
      </c>
      <c r="R205">
        <v>0</v>
      </c>
      <c r="S205">
        <v>1428640.12</v>
      </c>
      <c r="T205">
        <v>119053.34</v>
      </c>
      <c r="U205">
        <v>1428640.08</v>
      </c>
      <c r="V205">
        <v>4.0000000037252903E-2</v>
      </c>
      <c r="W205" t="b">
        <v>1</v>
      </c>
      <c r="X205" t="b">
        <v>1</v>
      </c>
      <c r="Y205" t="b">
        <v>1</v>
      </c>
      <c r="Z205" t="b">
        <v>1</v>
      </c>
      <c r="AA205" t="b">
        <v>1</v>
      </c>
      <c r="AB205" t="s">
        <v>282</v>
      </c>
      <c r="AC205" t="s">
        <v>283</v>
      </c>
    </row>
    <row r="206" spans="1:29" x14ac:dyDescent="0.25">
      <c r="A206" t="s">
        <v>144</v>
      </c>
      <c r="B206" t="s">
        <v>61</v>
      </c>
      <c r="C206" t="s">
        <v>62</v>
      </c>
      <c r="D206" t="s">
        <v>81</v>
      </c>
      <c r="E206" t="s">
        <v>66</v>
      </c>
      <c r="F206">
        <v>96</v>
      </c>
      <c r="G206">
        <v>888.53</v>
      </c>
      <c r="H206">
        <v>85298.46</v>
      </c>
      <c r="I206">
        <v>5.8299999999999998E-2</v>
      </c>
      <c r="J206">
        <v>85298.880000000005</v>
      </c>
      <c r="K206">
        <v>0.41999999999825377</v>
      </c>
      <c r="L206">
        <v>80324.929999999993</v>
      </c>
      <c r="M206">
        <v>80325.559800000003</v>
      </c>
      <c r="N206">
        <v>0.62978200001816731</v>
      </c>
      <c r="O206">
        <v>-7760.44</v>
      </c>
      <c r="P206">
        <v>72564.490000000005</v>
      </c>
      <c r="Q206">
        <v>72564.490000000005</v>
      </c>
      <c r="R206">
        <v>1.4551915228366852E-11</v>
      </c>
      <c r="S206">
        <v>963899.18</v>
      </c>
      <c r="T206">
        <v>80324.929999999993</v>
      </c>
      <c r="U206">
        <v>963899.16</v>
      </c>
      <c r="V206">
        <v>2.0000000135041773E-2</v>
      </c>
      <c r="W206" t="b">
        <v>1</v>
      </c>
      <c r="X206" t="b">
        <v>1</v>
      </c>
      <c r="Y206" t="b">
        <v>1</v>
      </c>
      <c r="Z206" t="b">
        <v>1</v>
      </c>
      <c r="AA206" t="b">
        <v>1</v>
      </c>
      <c r="AB206" t="s">
        <v>282</v>
      </c>
      <c r="AC206" t="s">
        <v>283</v>
      </c>
    </row>
    <row r="207" spans="1:29" x14ac:dyDescent="0.25">
      <c r="A207" t="s">
        <v>144</v>
      </c>
      <c r="B207" t="s">
        <v>61</v>
      </c>
      <c r="C207" t="s">
        <v>65</v>
      </c>
      <c r="D207" t="s">
        <v>75</v>
      </c>
      <c r="E207" t="s">
        <v>66</v>
      </c>
      <c r="F207">
        <v>137</v>
      </c>
      <c r="G207">
        <v>278</v>
      </c>
      <c r="H207">
        <v>38085.43</v>
      </c>
      <c r="I207">
        <v>0.12720000000000001</v>
      </c>
      <c r="J207">
        <v>38086</v>
      </c>
      <c r="K207">
        <v>0.56999999999970896</v>
      </c>
      <c r="L207">
        <v>33241.89</v>
      </c>
      <c r="M207">
        <v>33240.963300000003</v>
      </c>
      <c r="N207">
        <v>0.92669600000226637</v>
      </c>
      <c r="O207">
        <v>2059.6799999999998</v>
      </c>
      <c r="P207">
        <v>35301.57</v>
      </c>
      <c r="Q207">
        <v>35301.57</v>
      </c>
      <c r="R207">
        <v>0</v>
      </c>
      <c r="S207">
        <v>398902.73</v>
      </c>
      <c r="T207">
        <v>33241.89</v>
      </c>
      <c r="U207">
        <v>398902.68</v>
      </c>
      <c r="V207">
        <v>4.9999999988358468E-2</v>
      </c>
      <c r="W207" t="b">
        <v>1</v>
      </c>
      <c r="X207" t="b">
        <v>1</v>
      </c>
      <c r="Y207" t="b">
        <v>1</v>
      </c>
      <c r="Z207" t="b">
        <v>1</v>
      </c>
      <c r="AA207" t="b">
        <v>1</v>
      </c>
      <c r="AB207" t="s">
        <v>282</v>
      </c>
      <c r="AC207" t="s">
        <v>283</v>
      </c>
    </row>
    <row r="208" spans="1:29" x14ac:dyDescent="0.25">
      <c r="A208" t="s">
        <v>144</v>
      </c>
      <c r="B208" t="s">
        <v>67</v>
      </c>
      <c r="C208" t="s">
        <v>62</v>
      </c>
      <c r="D208" t="s">
        <v>78</v>
      </c>
      <c r="E208" t="s">
        <v>66</v>
      </c>
      <c r="F208">
        <v>120</v>
      </c>
      <c r="G208">
        <v>671.3</v>
      </c>
      <c r="H208">
        <v>80556.25</v>
      </c>
      <c r="I208">
        <v>8.3299999999999999E-2</v>
      </c>
      <c r="J208">
        <v>80556</v>
      </c>
      <c r="K208">
        <v>0.25</v>
      </c>
      <c r="L208">
        <v>73849.179999999993</v>
      </c>
      <c r="M208">
        <v>73845.914399999994</v>
      </c>
      <c r="N208">
        <v>3.265625</v>
      </c>
      <c r="O208">
        <v>-4985.3900000000003</v>
      </c>
      <c r="P208">
        <v>68863.789999999994</v>
      </c>
      <c r="Q208">
        <v>68863.789999999994</v>
      </c>
      <c r="R208">
        <v>0</v>
      </c>
      <c r="S208">
        <v>886190.16</v>
      </c>
      <c r="T208">
        <v>73849.179999999993</v>
      </c>
      <c r="U208">
        <v>886190.16</v>
      </c>
      <c r="V208">
        <v>1.1641532182693481E-10</v>
      </c>
      <c r="W208" t="b">
        <v>1</v>
      </c>
      <c r="X208" t="b">
        <v>1</v>
      </c>
      <c r="Y208" t="b">
        <v>1</v>
      </c>
      <c r="Z208" t="b">
        <v>1</v>
      </c>
      <c r="AA208" t="b">
        <v>1</v>
      </c>
      <c r="AB208" t="s">
        <v>282</v>
      </c>
      <c r="AC208" t="s">
        <v>283</v>
      </c>
    </row>
    <row r="209" spans="1:29" x14ac:dyDescent="0.25">
      <c r="A209" t="s">
        <v>145</v>
      </c>
      <c r="B209" t="s">
        <v>64</v>
      </c>
      <c r="C209" t="s">
        <v>62</v>
      </c>
      <c r="D209" t="s">
        <v>75</v>
      </c>
      <c r="E209" t="s">
        <v>63</v>
      </c>
      <c r="F209">
        <v>165</v>
      </c>
      <c r="G209">
        <v>277.85000000000002</v>
      </c>
      <c r="H209">
        <v>45845.57</v>
      </c>
      <c r="I209">
        <v>0.2082</v>
      </c>
      <c r="J209">
        <v>45845.250000000007</v>
      </c>
      <c r="K209">
        <v>0.319999999992433</v>
      </c>
      <c r="L209">
        <v>36299.040000000001</v>
      </c>
      <c r="M209">
        <v>36300.522299999997</v>
      </c>
      <c r="N209">
        <v>1.4823259999975562</v>
      </c>
      <c r="O209">
        <v>-114.77</v>
      </c>
      <c r="P209">
        <v>36184.269999999997</v>
      </c>
      <c r="Q209">
        <v>36184.269999999997</v>
      </c>
      <c r="R209">
        <v>7.2759576141834259E-12</v>
      </c>
      <c r="S209">
        <v>435588.5</v>
      </c>
      <c r="T209">
        <v>36299.040000000001</v>
      </c>
      <c r="U209">
        <v>435588.48</v>
      </c>
      <c r="V209">
        <v>2.0000000018626451E-2</v>
      </c>
      <c r="W209" t="b">
        <v>1</v>
      </c>
      <c r="X209" t="b">
        <v>1</v>
      </c>
      <c r="Y209" t="b">
        <v>1</v>
      </c>
      <c r="Z209" t="b">
        <v>1</v>
      </c>
      <c r="AA209" t="b">
        <v>1</v>
      </c>
      <c r="AB209" t="s">
        <v>282</v>
      </c>
      <c r="AC209" t="s">
        <v>283</v>
      </c>
    </row>
    <row r="210" spans="1:29" x14ac:dyDescent="0.25">
      <c r="A210" t="s">
        <v>145</v>
      </c>
      <c r="B210" t="s">
        <v>61</v>
      </c>
      <c r="C210" t="s">
        <v>65</v>
      </c>
      <c r="D210" t="s">
        <v>78</v>
      </c>
      <c r="E210" t="s">
        <v>63</v>
      </c>
      <c r="F210">
        <v>69</v>
      </c>
      <c r="G210">
        <v>573.72</v>
      </c>
      <c r="H210">
        <v>39586.839999999997</v>
      </c>
      <c r="I210">
        <v>0.14699999999999999</v>
      </c>
      <c r="J210">
        <v>39586.68</v>
      </c>
      <c r="K210">
        <v>0.1599999999962165</v>
      </c>
      <c r="L210">
        <v>33769.32</v>
      </c>
      <c r="M210">
        <v>33767.574500000002</v>
      </c>
      <c r="N210">
        <v>1.7454800000050454</v>
      </c>
      <c r="O210">
        <v>-254.79</v>
      </c>
      <c r="P210">
        <v>33514.53</v>
      </c>
      <c r="Q210">
        <v>33514.53</v>
      </c>
      <c r="R210">
        <v>0</v>
      </c>
      <c r="S210">
        <v>405231.84</v>
      </c>
      <c r="T210">
        <v>33769.32</v>
      </c>
      <c r="U210">
        <v>405231.84</v>
      </c>
      <c r="V210">
        <v>5.8207660913467407E-11</v>
      </c>
      <c r="W210" t="b">
        <v>1</v>
      </c>
      <c r="X210" t="b">
        <v>1</v>
      </c>
      <c r="Y210" t="b">
        <v>1</v>
      </c>
      <c r="Z210" t="b">
        <v>1</v>
      </c>
      <c r="AA210" t="b">
        <v>1</v>
      </c>
      <c r="AB210" t="s">
        <v>282</v>
      </c>
      <c r="AC210" t="s">
        <v>283</v>
      </c>
    </row>
    <row r="211" spans="1:29" x14ac:dyDescent="0.25">
      <c r="A211" t="s">
        <v>145</v>
      </c>
      <c r="B211" t="s">
        <v>61</v>
      </c>
      <c r="C211" t="s">
        <v>62</v>
      </c>
      <c r="D211" t="s">
        <v>75</v>
      </c>
      <c r="E211" t="s">
        <v>66</v>
      </c>
      <c r="F211">
        <v>251</v>
      </c>
      <c r="G211">
        <v>1070.57</v>
      </c>
      <c r="H211">
        <v>268713.95</v>
      </c>
      <c r="I211">
        <v>0.21820000000000001</v>
      </c>
      <c r="J211">
        <v>268713.07</v>
      </c>
      <c r="K211">
        <v>0.88000000000465661</v>
      </c>
      <c r="L211">
        <v>210093.92</v>
      </c>
      <c r="M211">
        <v>210080.5661</v>
      </c>
      <c r="N211">
        <v>13.353889999998501</v>
      </c>
      <c r="O211">
        <v>16894.03</v>
      </c>
      <c r="P211">
        <v>226987.94</v>
      </c>
      <c r="Q211">
        <v>226987.95</v>
      </c>
      <c r="R211">
        <v>1.0000000009313226E-2</v>
      </c>
      <c r="S211">
        <v>2521127</v>
      </c>
      <c r="T211">
        <v>210093.92</v>
      </c>
      <c r="U211">
        <v>2521127.04</v>
      </c>
      <c r="V211">
        <v>4.0000000037252903E-2</v>
      </c>
      <c r="W211" t="b">
        <v>1</v>
      </c>
      <c r="X211" t="b">
        <v>1</v>
      </c>
      <c r="Y211" t="b">
        <v>1</v>
      </c>
      <c r="Z211" t="b">
        <v>1</v>
      </c>
      <c r="AA211" t="b">
        <v>1</v>
      </c>
      <c r="AB211" t="s">
        <v>282</v>
      </c>
      <c r="AC211" t="s">
        <v>283</v>
      </c>
    </row>
    <row r="212" spans="1:29" x14ac:dyDescent="0.25">
      <c r="A212" t="s">
        <v>145</v>
      </c>
      <c r="B212" t="s">
        <v>61</v>
      </c>
      <c r="C212" t="s">
        <v>68</v>
      </c>
      <c r="D212" t="s">
        <v>75</v>
      </c>
      <c r="E212" t="s">
        <v>66</v>
      </c>
      <c r="F212">
        <v>144</v>
      </c>
      <c r="G212">
        <v>452.62</v>
      </c>
      <c r="H212">
        <v>65177.81</v>
      </c>
      <c r="I212">
        <v>0.1016</v>
      </c>
      <c r="J212">
        <v>65177.279999999999</v>
      </c>
      <c r="K212">
        <v>0.52999999999883585</v>
      </c>
      <c r="L212">
        <v>58553.23</v>
      </c>
      <c r="M212">
        <v>58555.744500000001</v>
      </c>
      <c r="N212">
        <v>2.5145039999988512</v>
      </c>
      <c r="O212">
        <v>-5332.92</v>
      </c>
      <c r="P212">
        <v>53220.32</v>
      </c>
      <c r="Q212">
        <v>53220.31</v>
      </c>
      <c r="R212">
        <v>9.9999999947613105E-3</v>
      </c>
      <c r="S212">
        <v>702638.81</v>
      </c>
      <c r="T212">
        <v>58553.23</v>
      </c>
      <c r="U212">
        <v>702638.76</v>
      </c>
      <c r="V212">
        <v>5.0000000046566129E-2</v>
      </c>
      <c r="W212" t="b">
        <v>1</v>
      </c>
      <c r="X212" t="b">
        <v>1</v>
      </c>
      <c r="Y212" t="b">
        <v>1</v>
      </c>
      <c r="Z212" t="b">
        <v>1</v>
      </c>
      <c r="AA212" t="b">
        <v>1</v>
      </c>
      <c r="AB212" t="s">
        <v>282</v>
      </c>
      <c r="AC212" t="s">
        <v>283</v>
      </c>
    </row>
    <row r="213" spans="1:29" x14ac:dyDescent="0.25">
      <c r="A213" t="s">
        <v>145</v>
      </c>
      <c r="B213" t="s">
        <v>67</v>
      </c>
      <c r="C213" t="s">
        <v>65</v>
      </c>
      <c r="D213" t="s">
        <v>75</v>
      </c>
      <c r="E213" t="s">
        <v>69</v>
      </c>
      <c r="F213">
        <v>150</v>
      </c>
      <c r="G213">
        <v>665.89</v>
      </c>
      <c r="H213">
        <v>99883.11</v>
      </c>
      <c r="I213">
        <v>0.12620000000000001</v>
      </c>
      <c r="J213">
        <v>99883.5</v>
      </c>
      <c r="K213">
        <v>0.38999999999941792</v>
      </c>
      <c r="L213">
        <v>87277.440000000002</v>
      </c>
      <c r="M213">
        <v>87277.861499999999</v>
      </c>
      <c r="N213">
        <v>0.42151800000283401</v>
      </c>
      <c r="O213">
        <v>13051.02</v>
      </c>
      <c r="P213">
        <v>100328.45</v>
      </c>
      <c r="Q213">
        <v>100328.46</v>
      </c>
      <c r="R213">
        <v>1.0000000009313226E-2</v>
      </c>
      <c r="S213">
        <v>1047329.22</v>
      </c>
      <c r="T213">
        <v>87277.440000000002</v>
      </c>
      <c r="U213">
        <v>1047329.28</v>
      </c>
      <c r="V213">
        <v>6.0000000055879354E-2</v>
      </c>
      <c r="W213" t="b">
        <v>1</v>
      </c>
      <c r="X213" t="b">
        <v>1</v>
      </c>
      <c r="Y213" t="b">
        <v>1</v>
      </c>
      <c r="Z213" t="b">
        <v>1</v>
      </c>
      <c r="AA213" t="b">
        <v>1</v>
      </c>
      <c r="AB213" t="s">
        <v>282</v>
      </c>
      <c r="AC213" t="s">
        <v>283</v>
      </c>
    </row>
    <row r="214" spans="1:29" x14ac:dyDescent="0.25">
      <c r="A214" t="s">
        <v>145</v>
      </c>
      <c r="B214" t="s">
        <v>67</v>
      </c>
      <c r="C214" t="s">
        <v>62</v>
      </c>
      <c r="D214" t="s">
        <v>78</v>
      </c>
      <c r="E214" t="s">
        <v>63</v>
      </c>
      <c r="F214">
        <v>290</v>
      </c>
      <c r="G214">
        <v>509.08</v>
      </c>
      <c r="H214">
        <v>147633.51</v>
      </c>
      <c r="I214">
        <v>5.33E-2</v>
      </c>
      <c r="J214">
        <v>147633.19999999998</v>
      </c>
      <c r="K214">
        <v>0.31000000002677552</v>
      </c>
      <c r="L214">
        <v>139771.51999999999</v>
      </c>
      <c r="M214">
        <v>139764.6439</v>
      </c>
      <c r="N214">
        <v>6.8760829999810085</v>
      </c>
      <c r="O214">
        <v>9859.16</v>
      </c>
      <c r="P214">
        <v>149630.68</v>
      </c>
      <c r="Q214">
        <v>149630.68</v>
      </c>
      <c r="R214">
        <v>0</v>
      </c>
      <c r="S214">
        <v>1677258.2</v>
      </c>
      <c r="T214">
        <v>139771.51999999999</v>
      </c>
      <c r="U214">
        <v>1677258.24</v>
      </c>
      <c r="V214">
        <v>3.9999999804422259E-2</v>
      </c>
      <c r="W214" t="b">
        <v>1</v>
      </c>
      <c r="X214" t="b">
        <v>1</v>
      </c>
      <c r="Y214" t="b">
        <v>1</v>
      </c>
      <c r="Z214" t="b">
        <v>1</v>
      </c>
      <c r="AA214" t="b">
        <v>1</v>
      </c>
      <c r="AB214" t="s">
        <v>282</v>
      </c>
      <c r="AC214" t="s">
        <v>283</v>
      </c>
    </row>
    <row r="215" spans="1:29" x14ac:dyDescent="0.25">
      <c r="A215" t="s">
        <v>145</v>
      </c>
      <c r="B215" t="s">
        <v>67</v>
      </c>
      <c r="C215" t="s">
        <v>68</v>
      </c>
      <c r="D215" t="s">
        <v>81</v>
      </c>
      <c r="E215" t="s">
        <v>66</v>
      </c>
      <c r="F215">
        <v>180</v>
      </c>
      <c r="G215">
        <v>984.9</v>
      </c>
      <c r="H215">
        <v>177281.27</v>
      </c>
      <c r="I215">
        <v>0.193</v>
      </c>
      <c r="J215">
        <v>177282</v>
      </c>
      <c r="K215">
        <v>0.73000000001047738</v>
      </c>
      <c r="L215">
        <v>143074.71</v>
      </c>
      <c r="M215">
        <v>143065.98490000001</v>
      </c>
      <c r="N215">
        <v>8.725109999999404</v>
      </c>
      <c r="O215">
        <v>20086.18</v>
      </c>
      <c r="P215">
        <v>163160.88</v>
      </c>
      <c r="Q215">
        <v>163160.89000000001</v>
      </c>
      <c r="R215">
        <v>9.9999999802093953E-3</v>
      </c>
      <c r="S215">
        <v>1716896.47</v>
      </c>
      <c r="T215">
        <v>143074.71</v>
      </c>
      <c r="U215">
        <v>1716896.52</v>
      </c>
      <c r="V215">
        <v>5.0000000046566129E-2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s">
        <v>282</v>
      </c>
      <c r="AC215" t="s">
        <v>283</v>
      </c>
    </row>
    <row r="216" spans="1:29" x14ac:dyDescent="0.25">
      <c r="A216" t="s">
        <v>145</v>
      </c>
      <c r="B216" t="s">
        <v>64</v>
      </c>
      <c r="C216" t="s">
        <v>65</v>
      </c>
      <c r="D216" t="s">
        <v>81</v>
      </c>
      <c r="E216" t="s">
        <v>63</v>
      </c>
      <c r="F216">
        <v>266</v>
      </c>
      <c r="G216">
        <v>1168.1300000000001</v>
      </c>
      <c r="H216">
        <v>310722.81</v>
      </c>
      <c r="I216">
        <v>0.2114</v>
      </c>
      <c r="J216">
        <v>310722.58</v>
      </c>
      <c r="K216">
        <v>0.22999999998137355</v>
      </c>
      <c r="L216">
        <v>245038.12</v>
      </c>
      <c r="M216">
        <v>245036.008</v>
      </c>
      <c r="N216">
        <v>2.1120339999906719</v>
      </c>
      <c r="O216">
        <v>13146.77</v>
      </c>
      <c r="P216">
        <v>258184.89</v>
      </c>
      <c r="Q216">
        <v>258184.89</v>
      </c>
      <c r="R216">
        <v>2.9103830456733704E-11</v>
      </c>
      <c r="S216">
        <v>2940457.42</v>
      </c>
      <c r="T216">
        <v>245038.12</v>
      </c>
      <c r="U216">
        <v>2940457.44</v>
      </c>
      <c r="V216">
        <v>2.0000000018626451E-2</v>
      </c>
      <c r="W216" t="b">
        <v>1</v>
      </c>
      <c r="X216" t="b">
        <v>1</v>
      </c>
      <c r="Y216" t="b">
        <v>1</v>
      </c>
      <c r="Z216" t="b">
        <v>1</v>
      </c>
      <c r="AA216" t="b">
        <v>1</v>
      </c>
      <c r="AB216" t="s">
        <v>282</v>
      </c>
      <c r="AC216" t="s">
        <v>283</v>
      </c>
    </row>
    <row r="217" spans="1:29" x14ac:dyDescent="0.25">
      <c r="A217" t="s">
        <v>145</v>
      </c>
      <c r="B217" t="s">
        <v>64</v>
      </c>
      <c r="C217" t="s">
        <v>68</v>
      </c>
      <c r="D217" t="s">
        <v>75</v>
      </c>
      <c r="E217" t="s">
        <v>63</v>
      </c>
      <c r="F217">
        <v>289</v>
      </c>
      <c r="G217">
        <v>769.49</v>
      </c>
      <c r="H217">
        <v>222382.4</v>
      </c>
      <c r="I217">
        <v>0.18060000000000001</v>
      </c>
      <c r="J217">
        <v>222382.61000000002</v>
      </c>
      <c r="K217">
        <v>0.21000000002095476</v>
      </c>
      <c r="L217">
        <v>182222.13</v>
      </c>
      <c r="M217">
        <v>182220.13860000001</v>
      </c>
      <c r="N217">
        <v>1.991440000012517</v>
      </c>
      <c r="O217">
        <v>1096.6099999999999</v>
      </c>
      <c r="P217">
        <v>183318.74</v>
      </c>
      <c r="Q217">
        <v>183318.74</v>
      </c>
      <c r="R217">
        <v>0</v>
      </c>
      <c r="S217">
        <v>2186665.52</v>
      </c>
      <c r="T217">
        <v>182222.13</v>
      </c>
      <c r="U217">
        <v>2186665.56</v>
      </c>
      <c r="V217">
        <v>4.0000000037252903E-2</v>
      </c>
      <c r="W217" t="b">
        <v>1</v>
      </c>
      <c r="X217" t="b">
        <v>1</v>
      </c>
      <c r="Y217" t="b">
        <v>1</v>
      </c>
      <c r="Z217" t="b">
        <v>1</v>
      </c>
      <c r="AA217" t="b">
        <v>1</v>
      </c>
      <c r="AB217" t="s">
        <v>282</v>
      </c>
      <c r="AC217" t="s">
        <v>283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69AE2-B7C5-4E7A-9772-C787D0B91C40}">
  <sheetPr>
    <tabColor theme="8" tint="0.39997558519241921"/>
  </sheetPr>
  <dimension ref="A1:F7"/>
  <sheetViews>
    <sheetView workbookViewId="0">
      <selection activeCell="D3" sqref="D3"/>
    </sheetView>
  </sheetViews>
  <sheetFormatPr defaultRowHeight="15" x14ac:dyDescent="0.25"/>
  <cols>
    <col min="1" max="1" width="26.140625" bestFit="1" customWidth="1"/>
    <col min="2" max="2" width="13.42578125" bestFit="1" customWidth="1"/>
    <col min="3" max="3" width="7.140625" bestFit="1" customWidth="1"/>
    <col min="4" max="4" width="6.42578125" bestFit="1" customWidth="1"/>
    <col min="5" max="5" width="12.140625" bestFit="1" customWidth="1"/>
    <col min="6" max="6" width="8.7109375" bestFit="1" customWidth="1"/>
  </cols>
  <sheetData>
    <row r="1" spans="1:6" x14ac:dyDescent="0.25">
      <c r="A1" t="s">
        <v>284</v>
      </c>
      <c r="B1" t="s">
        <v>285</v>
      </c>
      <c r="C1" t="s">
        <v>286</v>
      </c>
      <c r="D1" t="s">
        <v>287</v>
      </c>
      <c r="E1" t="s">
        <v>288</v>
      </c>
      <c r="F1" t="s">
        <v>289</v>
      </c>
    </row>
    <row r="2" spans="1:6" x14ac:dyDescent="0.25">
      <c r="A2" t="s">
        <v>290</v>
      </c>
      <c r="B2">
        <v>216</v>
      </c>
      <c r="C2">
        <v>216</v>
      </c>
      <c r="D2">
        <v>0</v>
      </c>
      <c r="E2">
        <v>1</v>
      </c>
      <c r="F2" t="s">
        <v>291</v>
      </c>
    </row>
    <row r="3" spans="1:6" x14ac:dyDescent="0.25">
      <c r="A3" t="s">
        <v>292</v>
      </c>
      <c r="B3">
        <v>216</v>
      </c>
      <c r="C3">
        <v>216</v>
      </c>
      <c r="D3">
        <v>0</v>
      </c>
      <c r="E3">
        <v>1</v>
      </c>
      <c r="F3" t="s">
        <v>291</v>
      </c>
    </row>
    <row r="4" spans="1:6" x14ac:dyDescent="0.25">
      <c r="A4" t="s">
        <v>293</v>
      </c>
      <c r="B4">
        <v>216</v>
      </c>
      <c r="C4">
        <v>216</v>
      </c>
      <c r="D4">
        <v>0</v>
      </c>
      <c r="E4">
        <v>1</v>
      </c>
      <c r="F4" t="s">
        <v>291</v>
      </c>
    </row>
    <row r="5" spans="1:6" x14ac:dyDescent="0.25">
      <c r="A5" t="s">
        <v>294</v>
      </c>
      <c r="B5">
        <v>216</v>
      </c>
      <c r="C5">
        <v>216</v>
      </c>
      <c r="D5">
        <v>0</v>
      </c>
      <c r="E5">
        <v>1</v>
      </c>
      <c r="F5" t="s">
        <v>291</v>
      </c>
    </row>
    <row r="6" spans="1:6" x14ac:dyDescent="0.25">
      <c r="A6" t="s">
        <v>295</v>
      </c>
      <c r="B6">
        <v>216</v>
      </c>
      <c r="C6">
        <v>216</v>
      </c>
      <c r="D6">
        <v>0</v>
      </c>
      <c r="E6">
        <v>1</v>
      </c>
      <c r="F6" t="s">
        <v>291</v>
      </c>
    </row>
    <row r="7" spans="1:6" x14ac:dyDescent="0.25">
      <c r="A7" t="s">
        <v>296</v>
      </c>
      <c r="B7">
        <v>216</v>
      </c>
      <c r="C7">
        <v>216</v>
      </c>
      <c r="D7">
        <v>0</v>
      </c>
      <c r="E7">
        <v>1</v>
      </c>
      <c r="F7" t="s">
        <v>291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E48F4-8E7A-49FA-BBB9-82F5031F9FB3}">
  <sheetPr>
    <tabColor theme="8" tint="0.39997558519241921"/>
  </sheetPr>
  <dimension ref="A1:K26"/>
  <sheetViews>
    <sheetView workbookViewId="0">
      <selection activeCell="N12" sqref="N12"/>
    </sheetView>
  </sheetViews>
  <sheetFormatPr defaultRowHeight="15" x14ac:dyDescent="0.25"/>
  <cols>
    <col min="1" max="1" width="9.28515625" bestFit="1" customWidth="1"/>
    <col min="2" max="2" width="16.7109375" bestFit="1" customWidth="1"/>
    <col min="3" max="3" width="14.85546875" bestFit="1" customWidth="1"/>
    <col min="4" max="4" width="14" bestFit="1" customWidth="1"/>
    <col min="5" max="5" width="12.85546875" bestFit="1" customWidth="1"/>
    <col min="6" max="6" width="18" bestFit="1" customWidth="1"/>
    <col min="7" max="7" width="22.28515625" bestFit="1" customWidth="1"/>
    <col min="8" max="8" width="22" bestFit="1" customWidth="1"/>
    <col min="9" max="9" width="12.28515625" bestFit="1" customWidth="1"/>
    <col min="10" max="10" width="22.85546875" bestFit="1" customWidth="1"/>
    <col min="11" max="11" width="18.85546875" bestFit="1" customWidth="1"/>
    <col min="12" max="12" width="18.7109375" bestFit="1" customWidth="1"/>
    <col min="13" max="13" width="22.85546875" bestFit="1" customWidth="1"/>
    <col min="14" max="14" width="17.7109375" bestFit="1" customWidth="1"/>
  </cols>
  <sheetData>
    <row r="1" spans="1:11" x14ac:dyDescent="0.25">
      <c r="A1" t="s">
        <v>115</v>
      </c>
      <c r="B1" t="s">
        <v>116</v>
      </c>
      <c r="C1" t="s">
        <v>58</v>
      </c>
      <c r="D1" t="s">
        <v>117</v>
      </c>
      <c r="E1" t="s">
        <v>118</v>
      </c>
      <c r="F1" t="s">
        <v>299</v>
      </c>
      <c r="G1" t="s">
        <v>297</v>
      </c>
      <c r="H1" t="s">
        <v>186</v>
      </c>
      <c r="I1" t="s">
        <v>249</v>
      </c>
      <c r="J1" t="s">
        <v>298</v>
      </c>
      <c r="K1" t="s">
        <v>300</v>
      </c>
    </row>
    <row r="2" spans="1:11" x14ac:dyDescent="0.25">
      <c r="A2" t="s">
        <v>122</v>
      </c>
      <c r="B2" s="121">
        <v>759773.83</v>
      </c>
      <c r="C2" s="121">
        <v>653003.46</v>
      </c>
      <c r="D2" s="121">
        <v>7836041.6399999997</v>
      </c>
      <c r="E2" s="121">
        <v>653003.46</v>
      </c>
      <c r="F2" s="124">
        <v>0.11867777777777801</v>
      </c>
      <c r="G2" s="121">
        <v>14989.52</v>
      </c>
      <c r="H2" s="121">
        <v>667992.9800000001</v>
      </c>
      <c r="I2" s="123">
        <v>1391</v>
      </c>
      <c r="J2" s="122"/>
      <c r="K2" s="124"/>
    </row>
    <row r="3" spans="1:11" x14ac:dyDescent="0.25">
      <c r="A3" t="s">
        <v>123</v>
      </c>
      <c r="B3" s="121">
        <v>641991.03</v>
      </c>
      <c r="C3" s="121">
        <v>583177.6</v>
      </c>
      <c r="D3" s="121">
        <v>6998131.2499999991</v>
      </c>
      <c r="E3" s="121">
        <v>583177.6</v>
      </c>
      <c r="F3" s="124">
        <v>9.7355555555555598E-2</v>
      </c>
      <c r="G3" s="121">
        <v>2686.4600000000005</v>
      </c>
      <c r="H3" s="121">
        <v>585864.05000000005</v>
      </c>
      <c r="I3" s="123">
        <v>1125</v>
      </c>
      <c r="J3" s="122">
        <v>-69825.859999999986</v>
      </c>
      <c r="K3" s="124">
        <v>-0.10693030631108801</v>
      </c>
    </row>
    <row r="4" spans="1:11" x14ac:dyDescent="0.25">
      <c r="A4" t="s">
        <v>124</v>
      </c>
      <c r="B4" s="121">
        <v>1151682.1099999999</v>
      </c>
      <c r="C4" s="121">
        <v>1059807.9700000002</v>
      </c>
      <c r="D4" s="121">
        <v>12717695.550000001</v>
      </c>
      <c r="E4" s="121">
        <v>1059807.9700000002</v>
      </c>
      <c r="F4" s="124">
        <v>8.6166666666666697E-2</v>
      </c>
      <c r="G4" s="121">
        <v>41833.939999999995</v>
      </c>
      <c r="H4" s="121">
        <v>1101641.8999999999</v>
      </c>
      <c r="I4" s="123">
        <v>1431</v>
      </c>
      <c r="J4" s="122">
        <v>476630.37000000023</v>
      </c>
      <c r="K4" s="124">
        <v>0.81729882972185497</v>
      </c>
    </row>
    <row r="5" spans="1:11" x14ac:dyDescent="0.25">
      <c r="A5" t="s">
        <v>125</v>
      </c>
      <c r="B5" s="121">
        <v>1135182.73</v>
      </c>
      <c r="C5" s="121">
        <v>973180.27</v>
      </c>
      <c r="D5" s="121">
        <v>11678163.34</v>
      </c>
      <c r="E5" s="121">
        <v>973180.27</v>
      </c>
      <c r="F5" s="124">
        <v>0.14396666666666699</v>
      </c>
      <c r="G5" s="121">
        <v>43722.63</v>
      </c>
      <c r="H5" s="121">
        <v>1016902.8899999999</v>
      </c>
      <c r="I5" s="123">
        <v>1571</v>
      </c>
      <c r="J5" s="122">
        <v>-86627.700000000186</v>
      </c>
      <c r="K5" s="124">
        <v>-8.1739053160734598E-2</v>
      </c>
    </row>
    <row r="6" spans="1:11" x14ac:dyDescent="0.25">
      <c r="A6" t="s">
        <v>126</v>
      </c>
      <c r="B6" s="121">
        <v>1064439.29</v>
      </c>
      <c r="C6" s="121">
        <v>965325.7</v>
      </c>
      <c r="D6" s="121">
        <v>11583908.309999999</v>
      </c>
      <c r="E6" s="121">
        <v>965325.7</v>
      </c>
      <c r="F6" s="124">
        <v>7.7499999999999999E-2</v>
      </c>
      <c r="G6" s="121">
        <v>16162.459999999995</v>
      </c>
      <c r="H6" s="121">
        <v>981488.15000000014</v>
      </c>
      <c r="I6" s="123">
        <v>1666</v>
      </c>
      <c r="J6" s="122">
        <v>-7854.5700000000652</v>
      </c>
      <c r="K6" s="124">
        <v>-8.0710329238385201E-3</v>
      </c>
    </row>
    <row r="7" spans="1:11" x14ac:dyDescent="0.25">
      <c r="A7" t="s">
        <v>127</v>
      </c>
      <c r="B7" s="121">
        <v>777405.83000000007</v>
      </c>
      <c r="C7" s="121">
        <v>692527.11</v>
      </c>
      <c r="D7" s="121">
        <v>8310325.3799999999</v>
      </c>
      <c r="E7" s="121">
        <v>692527.11</v>
      </c>
      <c r="F7" s="124">
        <v>0.1111</v>
      </c>
      <c r="G7" s="121">
        <v>26325.990000000005</v>
      </c>
      <c r="H7" s="121">
        <v>718853.11999999988</v>
      </c>
      <c r="I7" s="123">
        <v>1321</v>
      </c>
      <c r="J7" s="122">
        <v>-272798.58999999997</v>
      </c>
      <c r="K7" s="124">
        <v>-0.282597459075212</v>
      </c>
    </row>
    <row r="8" spans="1:11" x14ac:dyDescent="0.25">
      <c r="A8" t="s">
        <v>128</v>
      </c>
      <c r="B8" s="121">
        <v>1371764.6199999999</v>
      </c>
      <c r="C8" s="121">
        <v>1218456.71</v>
      </c>
      <c r="D8" s="121">
        <v>14621480.529999999</v>
      </c>
      <c r="E8" s="121">
        <v>1218456.71</v>
      </c>
      <c r="F8" s="124">
        <v>0.1113</v>
      </c>
      <c r="G8" s="121">
        <v>-649.53000000000429</v>
      </c>
      <c r="H8" s="121">
        <v>1217807.18</v>
      </c>
      <c r="I8" s="123">
        <v>1610</v>
      </c>
      <c r="J8" s="122">
        <v>525929.6</v>
      </c>
      <c r="K8" s="124">
        <v>0.75943539596594301</v>
      </c>
    </row>
    <row r="9" spans="1:11" x14ac:dyDescent="0.25">
      <c r="A9" t="s">
        <v>129</v>
      </c>
      <c r="B9" s="121">
        <v>738981.86</v>
      </c>
      <c r="C9" s="121">
        <v>637601.64</v>
      </c>
      <c r="D9" s="121">
        <v>7651219.46</v>
      </c>
      <c r="E9" s="121">
        <v>637601.64</v>
      </c>
      <c r="F9" s="124">
        <v>0.124411111111111</v>
      </c>
      <c r="G9" s="121">
        <v>4066.0199999999986</v>
      </c>
      <c r="H9" s="121">
        <v>641667.65999999992</v>
      </c>
      <c r="I9" s="123">
        <v>1344</v>
      </c>
      <c r="J9" s="122">
        <v>-580855.06999999995</v>
      </c>
      <c r="K9" s="124">
        <v>-0.476713752103675</v>
      </c>
    </row>
    <row r="10" spans="1:11" x14ac:dyDescent="0.25">
      <c r="A10" t="s">
        <v>130</v>
      </c>
      <c r="B10" s="121">
        <v>1835974.68</v>
      </c>
      <c r="C10" s="121">
        <v>1568177.05</v>
      </c>
      <c r="D10" s="121">
        <v>18818124.57</v>
      </c>
      <c r="E10" s="121">
        <v>1568177.05</v>
      </c>
      <c r="F10" s="124">
        <v>0.12230000000000001</v>
      </c>
      <c r="G10" s="121">
        <v>46928.9</v>
      </c>
      <c r="H10" s="121">
        <v>1615105.9499999997</v>
      </c>
      <c r="I10" s="123">
        <v>1984</v>
      </c>
      <c r="J10" s="122">
        <v>930575.41</v>
      </c>
      <c r="K10" s="124">
        <v>1.4594934385676901</v>
      </c>
    </row>
    <row r="11" spans="1:11" x14ac:dyDescent="0.25">
      <c r="A11" t="s">
        <v>131</v>
      </c>
      <c r="B11" s="121">
        <v>912231.09</v>
      </c>
      <c r="C11" s="121">
        <v>776190.30999999994</v>
      </c>
      <c r="D11" s="121">
        <v>9314283.7699999996</v>
      </c>
      <c r="E11" s="121">
        <v>776190.30999999994</v>
      </c>
      <c r="F11" s="124">
        <v>0.12925555555555601</v>
      </c>
      <c r="G11" s="121">
        <v>21344.559999999998</v>
      </c>
      <c r="H11" s="121">
        <v>797534.86999999988</v>
      </c>
      <c r="I11" s="123">
        <v>1342</v>
      </c>
      <c r="J11" s="122">
        <v>-791986.74000000011</v>
      </c>
      <c r="K11" s="124">
        <v>-0.50503655821260796</v>
      </c>
    </row>
    <row r="12" spans="1:11" x14ac:dyDescent="0.25">
      <c r="A12" t="s">
        <v>132</v>
      </c>
      <c r="B12" s="121">
        <v>959174.15</v>
      </c>
      <c r="C12" s="121">
        <v>882368.33000000007</v>
      </c>
      <c r="D12" s="121">
        <v>10588419.85</v>
      </c>
      <c r="E12" s="121">
        <v>882368.33000000007</v>
      </c>
      <c r="F12" s="124">
        <v>8.7077777777777796E-2</v>
      </c>
      <c r="G12" s="121">
        <v>10759.52</v>
      </c>
      <c r="H12" s="121">
        <v>893127.83000000007</v>
      </c>
      <c r="I12" s="123">
        <v>1776</v>
      </c>
      <c r="J12" s="122">
        <v>106178.02000000014</v>
      </c>
      <c r="K12" s="124">
        <v>0.13679379738713801</v>
      </c>
    </row>
    <row r="13" spans="1:11" x14ac:dyDescent="0.25">
      <c r="A13" t="s">
        <v>133</v>
      </c>
      <c r="B13" s="121">
        <v>1248081.57</v>
      </c>
      <c r="C13" s="121">
        <v>1104736.3599999999</v>
      </c>
      <c r="D13" s="121">
        <v>13256836.15</v>
      </c>
      <c r="E13" s="121">
        <v>1104736.3599999999</v>
      </c>
      <c r="F13" s="124">
        <v>0.101122222222222</v>
      </c>
      <c r="G13" s="121">
        <v>13578.939999999999</v>
      </c>
      <c r="H13" s="121">
        <v>1118315.26</v>
      </c>
      <c r="I13" s="123">
        <v>1993</v>
      </c>
      <c r="J13" s="122">
        <v>222368.0299999998</v>
      </c>
      <c r="K13" s="124">
        <v>0.25201270539707599</v>
      </c>
    </row>
    <row r="14" spans="1:11" x14ac:dyDescent="0.25">
      <c r="A14" t="s">
        <v>134</v>
      </c>
      <c r="B14" s="121">
        <v>1199518.76</v>
      </c>
      <c r="C14" s="121">
        <v>1051419.3600000001</v>
      </c>
      <c r="D14" s="121">
        <v>12617032.35</v>
      </c>
      <c r="E14" s="121">
        <v>1051419.3600000001</v>
      </c>
      <c r="F14" s="124">
        <v>0.12586666666666699</v>
      </c>
      <c r="G14" s="121">
        <v>74240.55</v>
      </c>
      <c r="H14" s="121">
        <v>1125659.9300000002</v>
      </c>
      <c r="I14" s="123">
        <v>1557</v>
      </c>
      <c r="J14" s="122">
        <v>-53316.999999999767</v>
      </c>
      <c r="K14" s="124">
        <v>-4.8262193524615901E-2</v>
      </c>
    </row>
    <row r="15" spans="1:11" x14ac:dyDescent="0.25">
      <c r="A15" t="s">
        <v>135</v>
      </c>
      <c r="B15" s="121">
        <v>880586.34999999986</v>
      </c>
      <c r="C15" s="121">
        <v>723705.39</v>
      </c>
      <c r="D15" s="121">
        <v>8684464.75</v>
      </c>
      <c r="E15" s="121">
        <v>723705.39</v>
      </c>
      <c r="F15" s="124">
        <v>0.17188888888888901</v>
      </c>
      <c r="G15" s="121">
        <v>-17854.440000000002</v>
      </c>
      <c r="H15" s="121">
        <v>705850.96000000008</v>
      </c>
      <c r="I15" s="123">
        <v>1493</v>
      </c>
      <c r="J15" s="122">
        <v>-327713.97000000009</v>
      </c>
      <c r="K15" s="124">
        <v>-0.31168721298797503</v>
      </c>
    </row>
    <row r="16" spans="1:11" x14ac:dyDescent="0.25">
      <c r="A16" t="s">
        <v>136</v>
      </c>
      <c r="B16" s="121">
        <v>1080829.3</v>
      </c>
      <c r="C16" s="121">
        <v>963510.89999999991</v>
      </c>
      <c r="D16" s="121">
        <v>11562130.73</v>
      </c>
      <c r="E16" s="121">
        <v>963510.89999999991</v>
      </c>
      <c r="F16" s="124">
        <v>0.110133333333333</v>
      </c>
      <c r="G16" s="121">
        <v>37243.540000000008</v>
      </c>
      <c r="H16" s="121">
        <v>1000754.45</v>
      </c>
      <c r="I16" s="123">
        <v>1344</v>
      </c>
      <c r="J16" s="122">
        <v>239805.50999999989</v>
      </c>
      <c r="K16" s="124">
        <v>0.33135791623715799</v>
      </c>
    </row>
    <row r="17" spans="1:11" x14ac:dyDescent="0.25">
      <c r="A17" t="s">
        <v>137</v>
      </c>
      <c r="B17" s="121">
        <v>1297154.31</v>
      </c>
      <c r="C17" s="121">
        <v>1175868.1600000001</v>
      </c>
      <c r="D17" s="121">
        <v>14110418.040000001</v>
      </c>
      <c r="E17" s="121">
        <v>1175868.1600000001</v>
      </c>
      <c r="F17" s="124">
        <v>9.01555555555556E-2</v>
      </c>
      <c r="G17" s="121">
        <v>-19347.659999999996</v>
      </c>
      <c r="H17" s="121">
        <v>1156520.51</v>
      </c>
      <c r="I17" s="123">
        <v>1537</v>
      </c>
      <c r="J17" s="122">
        <v>212357.26000000024</v>
      </c>
      <c r="K17" s="124">
        <v>0.220399437100297</v>
      </c>
    </row>
    <row r="18" spans="1:11" x14ac:dyDescent="0.25">
      <c r="A18" t="s">
        <v>138</v>
      </c>
      <c r="B18" s="121">
        <v>1051122.3199999998</v>
      </c>
      <c r="C18" s="121">
        <v>901474.63</v>
      </c>
      <c r="D18" s="121">
        <v>10817695.609999999</v>
      </c>
      <c r="E18" s="121">
        <v>901474.63</v>
      </c>
      <c r="F18" s="124">
        <v>0.130922222222222</v>
      </c>
      <c r="G18" s="121">
        <v>61707.28</v>
      </c>
      <c r="H18" s="121">
        <v>963181.92000000016</v>
      </c>
      <c r="I18" s="123">
        <v>1497</v>
      </c>
      <c r="J18" s="122">
        <v>-274393.53000000014</v>
      </c>
      <c r="K18" s="124">
        <v>-0.233353992678907</v>
      </c>
    </row>
    <row r="19" spans="1:11" x14ac:dyDescent="0.25">
      <c r="A19" t="s">
        <v>139</v>
      </c>
      <c r="B19" s="121">
        <v>1228352</v>
      </c>
      <c r="C19" s="121">
        <v>1086983.9600000002</v>
      </c>
      <c r="D19" s="121">
        <v>13043807.469999999</v>
      </c>
      <c r="E19" s="121">
        <v>1086983.9600000002</v>
      </c>
      <c r="F19" s="124">
        <v>0.11632222222222199</v>
      </c>
      <c r="G19" s="121">
        <v>57337.279999999999</v>
      </c>
      <c r="H19" s="121">
        <v>1144321.23</v>
      </c>
      <c r="I19" s="123">
        <v>1814</v>
      </c>
      <c r="J19" s="122">
        <v>185509.33000000019</v>
      </c>
      <c r="K19" s="124">
        <v>0.20578430476740101</v>
      </c>
    </row>
    <row r="20" spans="1:11" x14ac:dyDescent="0.25">
      <c r="A20" t="s">
        <v>140</v>
      </c>
      <c r="B20" s="121">
        <v>1246763.0600000003</v>
      </c>
      <c r="C20" s="121">
        <v>1047121.4299999999</v>
      </c>
      <c r="D20" s="121">
        <v>12565457.09</v>
      </c>
      <c r="E20" s="121">
        <v>1047121.4299999999</v>
      </c>
      <c r="F20" s="124">
        <v>0.13764444444444399</v>
      </c>
      <c r="G20" s="121">
        <v>22746.700000000004</v>
      </c>
      <c r="H20" s="121">
        <v>1069868.1399999999</v>
      </c>
      <c r="I20" s="123">
        <v>1808</v>
      </c>
      <c r="J20" s="122">
        <v>-39862.530000000261</v>
      </c>
      <c r="K20" s="124">
        <v>-3.6672601866176803E-2</v>
      </c>
    </row>
    <row r="21" spans="1:11" x14ac:dyDescent="0.25">
      <c r="A21" t="s">
        <v>141</v>
      </c>
      <c r="B21" s="121">
        <v>1190366.32</v>
      </c>
      <c r="C21" s="121">
        <v>1007024.59</v>
      </c>
      <c r="D21" s="121">
        <v>12084295.209999999</v>
      </c>
      <c r="E21" s="121">
        <v>1007024.59</v>
      </c>
      <c r="F21" s="124">
        <v>0.14804444444444401</v>
      </c>
      <c r="G21" s="121">
        <v>24969.630000000005</v>
      </c>
      <c r="H21" s="121">
        <v>1031994.23</v>
      </c>
      <c r="I21" s="123">
        <v>1761</v>
      </c>
      <c r="J21" s="122">
        <v>-40096.839999999967</v>
      </c>
      <c r="K21" s="124">
        <v>-3.82924452229002E-2</v>
      </c>
    </row>
    <row r="22" spans="1:11" x14ac:dyDescent="0.25">
      <c r="A22" t="s">
        <v>142</v>
      </c>
      <c r="B22" s="121">
        <v>926805.77999999991</v>
      </c>
      <c r="C22" s="121">
        <v>836844.97000000009</v>
      </c>
      <c r="D22" s="121">
        <v>10042139.629999999</v>
      </c>
      <c r="E22" s="121">
        <v>836844.97000000009</v>
      </c>
      <c r="F22" s="124">
        <v>0.10924444444444401</v>
      </c>
      <c r="G22" s="121">
        <v>20326.150000000001</v>
      </c>
      <c r="H22" s="121">
        <v>857171.12000000011</v>
      </c>
      <c r="I22" s="123">
        <v>1673</v>
      </c>
      <c r="J22" s="122">
        <v>-170179.61999999988</v>
      </c>
      <c r="K22" s="124">
        <v>-0.16899251685601799</v>
      </c>
    </row>
    <row r="23" spans="1:11" x14ac:dyDescent="0.25">
      <c r="A23" t="s">
        <v>143</v>
      </c>
      <c r="B23" s="121">
        <v>829289.25000000012</v>
      </c>
      <c r="C23" s="121">
        <v>741254.3600000001</v>
      </c>
      <c r="D23" s="121">
        <v>8895052.459999999</v>
      </c>
      <c r="E23" s="121">
        <v>741254.3600000001</v>
      </c>
      <c r="F23" s="124">
        <v>0.11273333333333301</v>
      </c>
      <c r="G23" s="121">
        <v>59749.009999999995</v>
      </c>
      <c r="H23" s="121">
        <v>801003.36</v>
      </c>
      <c r="I23" s="123">
        <v>1542</v>
      </c>
      <c r="J23" s="122">
        <v>-95590.609999999986</v>
      </c>
      <c r="K23" s="124">
        <v>-0.114227381924755</v>
      </c>
    </row>
    <row r="24" spans="1:11" x14ac:dyDescent="0.25">
      <c r="A24" t="s">
        <v>144</v>
      </c>
      <c r="B24" s="121">
        <v>870892.76</v>
      </c>
      <c r="C24" s="121">
        <v>812776.58</v>
      </c>
      <c r="D24" s="121">
        <v>9753319.120000001</v>
      </c>
      <c r="E24" s="121">
        <v>812776.58</v>
      </c>
      <c r="F24" s="124">
        <v>7.21888888888889E-2</v>
      </c>
      <c r="G24" s="121">
        <v>638.32999999999902</v>
      </c>
      <c r="H24" s="121">
        <v>813414.92000000016</v>
      </c>
      <c r="I24" s="123">
        <v>1515</v>
      </c>
      <c r="J24" s="122">
        <v>71522.219999999856</v>
      </c>
      <c r="K24" s="124">
        <v>9.6488093506795505E-2</v>
      </c>
    </row>
    <row r="25" spans="1:11" x14ac:dyDescent="0.25">
      <c r="A25" t="s">
        <v>145</v>
      </c>
      <c r="B25" s="121">
        <v>1377227.27</v>
      </c>
      <c r="C25" s="121">
        <v>1136099.4300000002</v>
      </c>
      <c r="D25" s="121">
        <v>13633192.98</v>
      </c>
      <c r="E25" s="121">
        <v>1136099.4300000002</v>
      </c>
      <c r="F25" s="124">
        <v>0.159944444444444</v>
      </c>
      <c r="G25" s="121">
        <v>68431.289999999994</v>
      </c>
      <c r="H25" s="121">
        <v>1204530.7</v>
      </c>
      <c r="I25" s="123">
        <v>1804</v>
      </c>
      <c r="J25" s="122">
        <v>323322.85000000021</v>
      </c>
      <c r="K25" s="124">
        <v>0.39780040167988101</v>
      </c>
    </row>
    <row r="26" spans="1:11" x14ac:dyDescent="0.25">
      <c r="J26" s="122"/>
      <c r="K26" s="124"/>
    </row>
  </sheetData>
  <phoneticPr fontId="50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62D15-A946-496B-A024-4E67AE90B257}">
  <sheetPr>
    <tabColor theme="8" tint="0.39997558519241921"/>
  </sheetPr>
  <dimension ref="A1:G12"/>
  <sheetViews>
    <sheetView workbookViewId="0">
      <selection activeCell="H22" sqref="H22"/>
    </sheetView>
  </sheetViews>
  <sheetFormatPr defaultRowHeight="15" x14ac:dyDescent="0.25"/>
  <cols>
    <col min="1" max="1" width="15.42578125" bestFit="1" customWidth="1"/>
    <col min="2" max="2" width="10.140625" bestFit="1" customWidth="1"/>
    <col min="3" max="3" width="14.85546875" bestFit="1" customWidth="1"/>
    <col min="4" max="4" width="16.7109375" bestFit="1" customWidth="1"/>
    <col min="5" max="5" width="12.28515625" bestFit="1" customWidth="1"/>
    <col min="6" max="6" width="16.85546875" bestFit="1" customWidth="1"/>
    <col min="7" max="7" width="24.42578125" bestFit="1" customWidth="1"/>
  </cols>
  <sheetData>
    <row r="1" spans="1:7" x14ac:dyDescent="0.25">
      <c r="A1" t="s">
        <v>57</v>
      </c>
      <c r="B1" t="s">
        <v>59</v>
      </c>
      <c r="C1" t="s">
        <v>58</v>
      </c>
      <c r="D1" t="s">
        <v>116</v>
      </c>
      <c r="E1" t="s">
        <v>249</v>
      </c>
      <c r="F1" t="s">
        <v>119</v>
      </c>
      <c r="G1" t="s">
        <v>301</v>
      </c>
    </row>
    <row r="2" spans="1:7" x14ac:dyDescent="0.25">
      <c r="A2" t="s">
        <v>64</v>
      </c>
      <c r="B2" t="s">
        <v>62</v>
      </c>
      <c r="C2" s="121">
        <v>2805772.29</v>
      </c>
      <c r="D2" s="121">
        <v>3235669.67</v>
      </c>
      <c r="E2" s="123">
        <v>4615</v>
      </c>
      <c r="F2" s="124">
        <v>0.125716666666667</v>
      </c>
      <c r="G2" s="124">
        <v>0.124156708240165</v>
      </c>
    </row>
    <row r="3" spans="1:7" x14ac:dyDescent="0.25">
      <c r="A3" t="s">
        <v>64</v>
      </c>
      <c r="B3" t="s">
        <v>65</v>
      </c>
      <c r="C3" s="121">
        <v>2473552.13</v>
      </c>
      <c r="D3" s="121">
        <v>2874240.78</v>
      </c>
      <c r="E3" s="123">
        <v>4248</v>
      </c>
      <c r="F3" s="124">
        <v>0.12869166666666701</v>
      </c>
      <c r="G3" s="124">
        <v>0.10945581407864299</v>
      </c>
    </row>
    <row r="4" spans="1:7" x14ac:dyDescent="0.25">
      <c r="A4" t="s">
        <v>64</v>
      </c>
      <c r="B4" t="s">
        <v>68</v>
      </c>
      <c r="C4" s="121">
        <v>2372200.7200000002</v>
      </c>
      <c r="D4" s="121">
        <v>2655805.08</v>
      </c>
      <c r="E4" s="123">
        <v>4145</v>
      </c>
      <c r="F4" s="124">
        <v>0.102283333333333</v>
      </c>
      <c r="G4" s="124">
        <v>0.10497096779017299</v>
      </c>
    </row>
    <row r="5" spans="1:7" x14ac:dyDescent="0.25">
      <c r="A5" t="s">
        <v>67</v>
      </c>
      <c r="B5" t="s">
        <v>62</v>
      </c>
      <c r="C5" s="121">
        <v>2907763.22</v>
      </c>
      <c r="D5" s="121">
        <v>3290315.77</v>
      </c>
      <c r="E5" s="123">
        <v>4399</v>
      </c>
      <c r="F5" s="124">
        <v>0.11724583333333299</v>
      </c>
      <c r="G5" s="124">
        <v>0.12866985358138999</v>
      </c>
    </row>
    <row r="6" spans="1:7" x14ac:dyDescent="0.25">
      <c r="A6" t="s">
        <v>67</v>
      </c>
      <c r="B6" t="s">
        <v>65</v>
      </c>
      <c r="C6" s="121">
        <v>2225581.64</v>
      </c>
      <c r="D6" s="121">
        <v>2593540.9</v>
      </c>
      <c r="E6" s="123">
        <v>3998</v>
      </c>
      <c r="F6" s="124">
        <v>0.138891666666667</v>
      </c>
      <c r="G6" s="124">
        <v>9.8483006381871394E-2</v>
      </c>
    </row>
    <row r="7" spans="1:7" x14ac:dyDescent="0.25">
      <c r="A7" t="s">
        <v>67</v>
      </c>
      <c r="B7" t="s">
        <v>68</v>
      </c>
      <c r="C7" s="121">
        <v>1917078.37</v>
      </c>
      <c r="D7" s="121">
        <v>2132058.7799999998</v>
      </c>
      <c r="E7" s="123">
        <v>3632</v>
      </c>
      <c r="F7" s="124">
        <v>0.105083333333333</v>
      </c>
      <c r="G7" s="124">
        <v>8.4831595459808701E-2</v>
      </c>
    </row>
    <row r="8" spans="1:7" x14ac:dyDescent="0.25">
      <c r="A8" t="s">
        <v>61</v>
      </c>
      <c r="B8" t="s">
        <v>62</v>
      </c>
      <c r="C8" s="121">
        <v>2820177.61</v>
      </c>
      <c r="D8" s="121">
        <v>3265015.13</v>
      </c>
      <c r="E8" s="123">
        <v>4210</v>
      </c>
      <c r="F8" s="124">
        <v>0.103704166666667</v>
      </c>
      <c r="G8" s="124">
        <v>0.124794150244536</v>
      </c>
    </row>
    <row r="9" spans="1:7" x14ac:dyDescent="0.25">
      <c r="A9" t="s">
        <v>61</v>
      </c>
      <c r="B9" t="s">
        <v>65</v>
      </c>
      <c r="C9" s="121">
        <v>2657990.35</v>
      </c>
      <c r="D9" s="121">
        <v>2970796.2</v>
      </c>
      <c r="E9" s="123">
        <v>4497</v>
      </c>
      <c r="F9" s="124">
        <v>0.1167875</v>
      </c>
      <c r="G9" s="124">
        <v>0.117617289744537</v>
      </c>
    </row>
    <row r="10" spans="1:7" x14ac:dyDescent="0.25">
      <c r="A10" t="s">
        <v>61</v>
      </c>
      <c r="B10" t="s">
        <v>68</v>
      </c>
      <c r="C10" s="121">
        <v>2418519.94</v>
      </c>
      <c r="D10" s="121">
        <v>2758147.96</v>
      </c>
      <c r="E10" s="123">
        <v>4155</v>
      </c>
      <c r="F10" s="124">
        <v>0.109841666666667</v>
      </c>
      <c r="G10" s="124">
        <v>0.107020614478875</v>
      </c>
    </row>
    <row r="11" spans="1:7" x14ac:dyDescent="0.25">
      <c r="E11" s="123"/>
      <c r="G11" s="124"/>
    </row>
    <row r="12" spans="1:7" x14ac:dyDescent="0.25">
      <c r="G12" s="124"/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7F47F-F5EF-45AF-8991-8F0F83C36213}">
  <sheetPr>
    <tabColor theme="8" tint="0.39997558519241921"/>
  </sheetPr>
  <dimension ref="A1:K6"/>
  <sheetViews>
    <sheetView workbookViewId="0">
      <selection activeCell="I19" sqref="I19"/>
    </sheetView>
  </sheetViews>
  <sheetFormatPr defaultRowHeight="15" x14ac:dyDescent="0.25"/>
  <cols>
    <col min="1" max="1" width="20.42578125" bestFit="1" customWidth="1"/>
    <col min="2" max="2" width="18" bestFit="1" customWidth="1"/>
    <col min="3" max="3" width="17" bestFit="1" customWidth="1"/>
    <col min="4" max="4" width="15.140625" bestFit="1" customWidth="1"/>
    <col min="5" max="5" width="12.85546875" bestFit="1" customWidth="1"/>
    <col min="6" max="6" width="23.85546875" bestFit="1" customWidth="1"/>
    <col min="7" max="7" width="24.5703125" bestFit="1" customWidth="1"/>
    <col min="8" max="8" width="10.85546875" bestFit="1" customWidth="1"/>
    <col min="9" max="9" width="66.140625" bestFit="1" customWidth="1"/>
    <col min="10" max="10" width="12.85546875" bestFit="1" customWidth="1"/>
    <col min="11" max="11" width="23.28515625" bestFit="1" customWidth="1"/>
    <col min="12" max="12" width="10.85546875" bestFit="1" customWidth="1"/>
  </cols>
  <sheetData>
    <row r="1" spans="1:11" x14ac:dyDescent="0.25">
      <c r="A1" t="s">
        <v>151</v>
      </c>
      <c r="B1" t="s">
        <v>299</v>
      </c>
      <c r="C1" t="s">
        <v>302</v>
      </c>
      <c r="D1" t="s">
        <v>303</v>
      </c>
      <c r="E1" t="s">
        <v>304</v>
      </c>
      <c r="F1" t="s">
        <v>306</v>
      </c>
      <c r="G1" t="s">
        <v>307</v>
      </c>
      <c r="H1" t="s">
        <v>305</v>
      </c>
      <c r="I1" t="s">
        <v>308</v>
      </c>
    </row>
    <row r="2" spans="1:11" x14ac:dyDescent="0.25">
      <c r="A2" t="s">
        <v>63</v>
      </c>
      <c r="B2" s="124">
        <v>0.12048648648648599</v>
      </c>
      <c r="C2" s="121">
        <v>9143295.6799999997</v>
      </c>
      <c r="D2" s="121">
        <v>7964772.3499999996</v>
      </c>
      <c r="E2">
        <v>74</v>
      </c>
      <c r="F2" s="121">
        <v>1178523.33</v>
      </c>
      <c r="G2" s="124">
        <v>0.12889480677934301</v>
      </c>
      <c r="H2" t="s">
        <v>309</v>
      </c>
      <c r="I2" t="s">
        <v>310</v>
      </c>
    </row>
    <row r="3" spans="1:11" x14ac:dyDescent="0.25">
      <c r="A3" t="s">
        <v>69</v>
      </c>
      <c r="B3" s="124">
        <v>0.119822058823529</v>
      </c>
      <c r="C3" s="121">
        <v>8136963.1699999999</v>
      </c>
      <c r="D3" s="121">
        <v>7112830.5800000001</v>
      </c>
      <c r="E3">
        <v>68</v>
      </c>
      <c r="F3" s="121">
        <v>1024132.59</v>
      </c>
      <c r="G3" s="124">
        <v>0.125861770368564</v>
      </c>
      <c r="H3" t="s">
        <v>309</v>
      </c>
      <c r="I3" t="s">
        <v>311</v>
      </c>
    </row>
    <row r="4" spans="1:11" x14ac:dyDescent="0.25">
      <c r="A4" t="s">
        <v>66</v>
      </c>
      <c r="B4" s="124">
        <v>0.10937837837837799</v>
      </c>
      <c r="C4" s="121">
        <v>8495331.4199999999</v>
      </c>
      <c r="D4" s="121">
        <v>7521033.3399999999</v>
      </c>
      <c r="E4">
        <v>74</v>
      </c>
      <c r="F4" s="121">
        <v>974298.08</v>
      </c>
      <c r="G4" s="124">
        <v>0.11468629436943099</v>
      </c>
      <c r="H4" t="s">
        <v>312</v>
      </c>
      <c r="I4" t="s">
        <v>313</v>
      </c>
    </row>
    <row r="5" spans="1:11" x14ac:dyDescent="0.25">
      <c r="B5" s="124"/>
      <c r="C5" s="121"/>
      <c r="D5" s="121"/>
      <c r="E5" s="121"/>
      <c r="F5" s="121"/>
      <c r="G5" s="124"/>
      <c r="H5" s="121"/>
      <c r="I5" s="121"/>
      <c r="K5" s="124"/>
    </row>
    <row r="6" spans="1:11" x14ac:dyDescent="0.25">
      <c r="B6" s="124"/>
      <c r="D6" s="121"/>
      <c r="E6" s="121"/>
      <c r="F6" s="121"/>
      <c r="G6" s="124"/>
      <c r="H6" s="121"/>
      <c r="I6" s="121"/>
    </row>
  </sheetData>
  <phoneticPr fontId="50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0E61A4-BDB1-4472-8581-50245D857C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📋 Cover</vt:lpstr>
      <vt:lpstr>📊 Executive Summary</vt:lpstr>
      <vt:lpstr>👁 Audience Lens</vt:lpstr>
      <vt:lpstr>📈 Revenue Analysis</vt:lpstr>
      <vt:lpstr>🗺 Dashboard Logic</vt:lpstr>
      <vt:lpstr>✅ QA Control</vt:lpstr>
      <vt:lpstr>📊 Chart Data</vt:lpstr>
      <vt:lpstr>📉 Charts</vt:lpstr>
      <vt:lpstr>📂 Raw Data</vt:lpstr>
      <vt:lpstr>QA_ValidationModule</vt:lpstr>
      <vt:lpstr>QA_AuditSummary</vt:lpstr>
      <vt:lpstr>Monthly_Summary</vt:lpstr>
      <vt:lpstr>BU_Product_Summary</vt:lpstr>
      <vt:lpstr>Segment_Discount_Summary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Julaluk Clements</cp:lastModifiedBy>
  <cp:revision>6</cp:revision>
  <dcterms:created xsi:type="dcterms:W3CDTF">2026-05-12T06:42:44Z</dcterms:created>
  <dcterms:modified xsi:type="dcterms:W3CDTF">2026-05-14T00:45:10Z</dcterms:modified>
  <dc:language>en-US</dc:language>
</cp:coreProperties>
</file>